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Downloads\"/>
    </mc:Choice>
  </mc:AlternateContent>
  <xr:revisionPtr revIDLastSave="0" documentId="13_ncr:1_{D0D82C0E-05F5-4A76-A124-74AF8539EF4E}" xr6:coauthVersionLast="47" xr6:coauthVersionMax="47" xr10:uidLastSave="{00000000-0000-0000-0000-000000000000}"/>
  <bookViews>
    <workbookView xWindow="-108" yWindow="-108" windowWidth="23256" windowHeight="12456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B11" i="3"/>
  <c r="B2" i="3"/>
</calcChain>
</file>

<file path=xl/sharedStrings.xml><?xml version="1.0" encoding="utf-8"?>
<sst xmlns="http://schemas.openxmlformats.org/spreadsheetml/2006/main" count="2007" uniqueCount="318">
  <si>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</si>
  <si>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</si>
  <si>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</si>
  <si>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</si>
  <si>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</si>
  <si>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</si>
  <si>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</si>
  <si>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</si>
  <si>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</si>
  <si>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</si>
  <si>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</si>
  <si>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</si>
  <si>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</si>
  <si>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</si>
  <si>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</si>
  <si>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</si>
  <si>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</si>
  <si>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</si>
  <si>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</si>
  <si>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</si>
  <si>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</si>
  <si>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</si>
  <si>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</si>
  <si>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</si>
  <si>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</si>
  <si>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</si>
  <si>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</si>
  <si>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</si>
  <si>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</si>
  <si>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</si>
  <si>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</si>
  <si>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</si>
  <si>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</si>
  <si>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</si>
  <si>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</si>
  <si>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</si>
  <si>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</si>
  <si>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</si>
  <si>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</si>
  <si>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</si>
  <si>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</si>
  <si>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</si>
  <si>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</si>
  <si>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</si>
  <si>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</si>
  <si>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</si>
  <si>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</si>
  <si>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</si>
  <si>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</si>
  <si>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</si>
  <si>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</si>
  <si>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</si>
  <si>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</si>
  <si>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</si>
  <si>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</si>
  <si>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</si>
  <si>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</si>
  <si>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</si>
  <si>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</si>
  <si>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</si>
  <si>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</si>
  <si>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</si>
  <si>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</si>
  <si>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</si>
  <si>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</si>
  <si>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</si>
  <si>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</si>
  <si>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</si>
  <si>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</si>
  <si>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</si>
  <si>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</si>
  <si>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</si>
  <si>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</si>
  <si>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</si>
  <si>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</si>
  <si>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</si>
  <si>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</si>
  <si>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</si>
  <si>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</si>
  <si>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</si>
  <si>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</si>
  <si>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</si>
  <si>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</si>
  <si>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</si>
  <si>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</si>
  <si>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</si>
  <si>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</si>
  <si>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</si>
  <si>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</si>
  <si>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</si>
  <si>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</si>
  <si>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</si>
  <si>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</si>
  <si>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</si>
  <si>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</si>
  <si>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</si>
  <si>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</si>
  <si>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</si>
  <si>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</si>
  <si>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</si>
  <si>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</si>
  <si>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</si>
  <si>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</si>
  <si>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</si>
  <si>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</si>
  <si>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</si>
  <si>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</si>
  <si>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</si>
  <si>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</si>
  <si>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</si>
  <si>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</si>
  <si>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</si>
  <si>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</si>
  <si>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</si>
  <si>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</si>
  <si>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</si>
  <si>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</si>
  <si>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</si>
  <si>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</si>
  <si>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</si>
  <si>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</si>
  <si>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</si>
  <si>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</si>
  <si>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</si>
  <si>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</si>
  <si>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</si>
  <si>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</si>
  <si>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</si>
  <si>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</si>
  <si>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</si>
  <si>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</si>
  <si>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</si>
  <si>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</si>
  <si>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</si>
  <si>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</si>
  <si>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</si>
  <si>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</si>
  <si>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</si>
  <si>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</si>
  <si>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</si>
  <si>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</si>
  <si>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</si>
  <si>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</si>
  <si>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</si>
  <si>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</si>
  <si>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</si>
  <si>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</si>
  <si>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</si>
  <si>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</si>
  <si>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</si>
  <si>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</si>
  <si>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</si>
  <si>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</si>
  <si>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</si>
  <si>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</si>
  <si>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</si>
  <si>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</si>
  <si>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</si>
  <si>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</si>
  <si>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</si>
  <si>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</si>
  <si>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</si>
  <si>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</si>
  <si>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</si>
  <si>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</si>
  <si>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</si>
  <si>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</si>
  <si>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</si>
  <si>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</si>
  <si>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</si>
  <si>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</si>
  <si>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</si>
  <si>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</si>
  <si>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</si>
  <si>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</si>
  <si>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</si>
  <si>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</si>
  <si>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</si>
  <si>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</si>
  <si>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</si>
  <si>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</si>
  <si>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</si>
  <si>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</si>
  <si>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</si>
  <si>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</si>
  <si>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</si>
  <si>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</si>
  <si>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</si>
  <si>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</si>
  <si>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</si>
  <si>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</si>
  <si>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</si>
  <si>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</si>
  <si>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</si>
  <si>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</si>
  <si>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</si>
  <si>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</si>
  <si>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</si>
  <si>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</si>
  <si>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</si>
  <si>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</si>
  <si>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</si>
  <si>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</si>
  <si>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</si>
  <si>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</si>
  <si>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</si>
  <si>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</si>
  <si>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</si>
  <si>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</si>
  <si>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</si>
  <si>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</si>
  <si>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</si>
  <si>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</si>
  <si>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</si>
  <si>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</si>
  <si>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</si>
  <si>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</si>
  <si>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</si>
  <si>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</si>
  <si>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</si>
  <si>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</si>
  <si>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</si>
  <si>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</si>
  <si>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</si>
  <si>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</si>
  <si>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</si>
  <si>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</si>
  <si>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</si>
  <si>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</si>
  <si>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</si>
  <si>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</si>
  <si>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</si>
  <si>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</si>
  <si>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</si>
  <si>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</si>
  <si>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</si>
  <si>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</si>
  <si>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</si>
  <si>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</si>
  <si>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</si>
  <si>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</si>
  <si>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</si>
  <si>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</si>
  <si>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</si>
  <si>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</si>
  <si>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</si>
  <si>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</si>
  <si>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</si>
  <si>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</si>
  <si>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</si>
  <si>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</si>
  <si>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</si>
  <si>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</si>
  <si>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</si>
  <si>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</si>
  <si>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</si>
  <si>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</si>
  <si>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</si>
  <si>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</si>
  <si>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</si>
  <si>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</si>
  <si>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</si>
  <si>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</si>
  <si>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</si>
  <si>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</si>
  <si>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</si>
  <si>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</si>
  <si>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</si>
  <si>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</si>
  <si>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</si>
  <si>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</si>
  <si>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</si>
  <si>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</si>
  <si>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</si>
  <si>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</si>
  <si>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</si>
  <si>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</si>
  <si>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</si>
  <si>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</si>
  <si>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</si>
  <si>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</si>
  <si>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</si>
  <si>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</si>
  <si>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</si>
  <si>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</si>
  <si>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</si>
  <si>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</si>
  <si>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</si>
  <si>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</si>
  <si>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</si>
  <si>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</si>
  <si>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</si>
  <si>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</si>
  <si>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</si>
  <si>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</si>
  <si>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</si>
  <si>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</si>
  <si>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</si>
  <si>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</si>
  <si>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</si>
  <si>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</si>
  <si>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</si>
  <si>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</si>
  <si>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</si>
  <si>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</si>
  <si>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</si>
  <si>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</si>
  <si>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</si>
  <si>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</si>
  <si>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</si>
  <si>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</si>
  <si>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</si>
  <si>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</si>
  <si>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</si>
  <si>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Soma de Minecraft Season Pass Price</t>
  </si>
  <si>
    <t>Rótulos de Linha</t>
  </si>
  <si>
    <t>Total Geral</t>
  </si>
  <si>
    <t>Soma de EA Play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</si>
</sst>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R$&quot;\ #,##0.00;\-&quot;R$&quot;\ #,##0.00"/>
    <numFmt numFmtId="44" formatCode="_-&quot;R$&quot;\ * #,##0.00_-;\-&quot;R$&quot;\ * #,##0.00_-;_-&quot;R$&quot;\ * &quot;-&quot;??_-;_-@_-"/>
    <numFmt numFmtId="168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2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8" borderId="0" xfId="0" applyFill="1"/>
    <xf numFmtId="0" fontId="0" fillId="0" borderId="0" xfId="0" applyAlignment="1">
      <alignment vertical="center"/>
    </xf>
    <xf numFmtId="7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168" fontId="0" fillId="0" borderId="0" xfId="0" applyNumberFormat="1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44" fontId="0" fillId="0" borderId="0" xfId="0" applyNumberFormat="1" applyAlignment="1">
      <alignment vertical="center"/>
    </xf>
    <xf numFmtId="0" fontId="4" fillId="8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57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8" formatCode="&quot;R$&quot;\ #,##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8" formatCode="&quot;R$&quot;\ #,##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8" formatCode="&quot;R$&quot;\ #,##0.00"/>
    </dxf>
    <dxf>
      <numFmt numFmtId="168" formatCode="&quot;R$&quot;\ #,##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3" defaultTableStyle="TableStyleMedium2" defaultPivotStyle="PivotStyleLight16">
    <tableStyle name="Estilo de Segmentação de Dados 1" pivot="0" table="0" count="10" xr9:uid="{4802B267-3C36-4DE8-ADED-16D0F3F9520F}">
      <tableStyleElement type="wholeTable" dxfId="126"/>
      <tableStyleElement type="headerRow" dxfId="127"/>
    </tableStyle>
    <tableStyle name="Estilo de Segmentação de Dados 2" pivot="0" table="0" count="1" xr9:uid="{FE448C5C-C1F4-4253-B91A-386F5DA20943}">
      <tableStyleElement type="wholeTable" dxfId="125"/>
    </tableStyle>
    <tableStyle name="Estilo de Segmentação de Dados 3" pivot="0" table="0" count="3" xr9:uid="{B8F43ADB-87E7-4B39-A07F-42EC50711FE7}">
      <tableStyleElement type="wholeTable" dxfId="124"/>
    </tableStyle>
  </tableStyles>
  <colors>
    <mruColors>
      <color rgb="FFE8E6E9"/>
      <color rgb="FF22C55E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10">
        <dxf>
          <fill>
            <patternFill>
              <bgColor theme="0" tint="-0.14996795556505021"/>
            </patternFill>
          </fill>
        </dxf>
        <dxf>
          <fill>
            <patternFill>
              <bgColor theme="6" tint="0.39994506668294322"/>
            </patternFill>
          </fill>
        </dxf>
        <dxf>
          <fill>
            <patternFill>
              <bgColor theme="6" tint="0.39994506668294322"/>
            </patternFill>
          </fill>
        </dxf>
        <dxf>
          <fill>
            <patternFill>
              <bgColor theme="6" tint="0.39994506668294322"/>
            </patternFill>
          </fill>
        </dxf>
        <dxf>
          <fill>
            <patternFill>
              <bgColor theme="6" tint="0.39994506668294322"/>
            </patternFill>
          </fill>
        </dxf>
        <dxf>
          <fill>
            <patternFill>
              <bgColor theme="6" tint="0.39994506668294322"/>
            </patternFill>
          </fill>
        </dxf>
        <dxf>
          <fill>
            <patternFill>
              <bgColor theme="6" tint="0.39994506668294322"/>
            </patternFill>
          </fill>
        </dxf>
        <dxf>
          <fill>
            <patternFill>
              <bgColor theme="6" tint="0.39994506668294322"/>
            </patternFill>
          </fill>
        </dxf>
        <dxf>
          <fill>
            <patternFill>
              <bgColor theme="6" tint="0.39994506668294322"/>
            </patternFill>
          </fill>
        </dxf>
        <dxf>
          <fill>
            <patternFill>
              <bgColor theme="6" tint="0.3999450666829432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unselectedItemWithData" dxfId="7"/>
            <x14:slicerStyleElement type="unselectedItemWithNoData" dxfId="6"/>
            <x14:slicerStyleElement type="selectedItemWithData" dxfId="9"/>
            <x14:slicerStyleElement type="selectedItemWithNoData" dxfId="8"/>
            <x14:slicerStyleElement type="hoveredUnselectedItemWithData" dxfId="3"/>
            <x14:slicerStyleElement type="hoveredSelectedItemWithData" dxfId="5"/>
            <x14:slicerStyleElement type="hoveredUnselectedItemWithNoData" dxfId="2"/>
            <x14:slicerStyleElement type="hoveredSelectedItemWithNoData" dxfId="4"/>
          </x14:slicerStyleElements>
        </x14:slicerStyle>
        <x14:slicerStyle name="Estilo de Segmentação de Dados 2"/>
        <x14:slicerStyle name="Estilo de Segmentação de Dados 3">
          <x14:slicerStyleElements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 dinâmica4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40000"/>
              <a:lumOff val="6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3.7457613171394538E-2"/>
              <c:y val="-6.75084712704636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>
              <a:lumMod val="60000"/>
              <a:lumOff val="4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6.4668415506969557E-2"/>
              <c:y val="3.041408387781273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-2.2474567902836719E-2"/>
              <c:y val="0.1661746985119104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C̳álculos!$B$14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213-4287-9A11-7925C7441E49}"/>
              </c:ext>
            </c:extLst>
          </c:dPt>
          <c:dPt>
            <c:idx val="1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213-4287-9A11-7925C7441E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213-4287-9A11-7925C7441E49}"/>
              </c:ext>
            </c:extLst>
          </c:dPt>
          <c:dLbls>
            <c:dLbl>
              <c:idx val="0"/>
              <c:layout>
                <c:manualLayout>
                  <c:x val="3.7457613171394538E-2"/>
                  <c:y val="-6.75084712704636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13-4287-9A11-7925C7441E49}"/>
                </c:ext>
              </c:extLst>
            </c:dLbl>
            <c:dLbl>
              <c:idx val="1"/>
              <c:layout>
                <c:manualLayout>
                  <c:x val="6.4668415506969557E-2"/>
                  <c:y val="3.04140838778127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13-4287-9A11-7925C7441E49}"/>
                </c:ext>
              </c:extLst>
            </c:dLbl>
            <c:dLbl>
              <c:idx val="2"/>
              <c:layout>
                <c:manualLayout>
                  <c:x val="-2.2474567902836719E-2"/>
                  <c:y val="0.1661746985119104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213-4287-9A11-7925C7441E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C̳álculos!$A$15:$A$18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C̳álculos!$B$15:$B$18</c:f>
              <c:numCache>
                <c:formatCode>_("R$"* #,##0.00_);_("R$"* \(#,##0.00\);_("R$"* "-"??_);_(@_)</c:formatCode>
                <c:ptCount val="3"/>
                <c:pt idx="0">
                  <c:v>132</c:v>
                </c:pt>
                <c:pt idx="1">
                  <c:v>395</c:v>
                </c:pt>
                <c:pt idx="2">
                  <c:v>1781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13-4287-9A11-7925C7441E4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8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609369004385487"/>
          <c:y val="0.57477391204435357"/>
          <c:w val="0.33266902600472675"/>
          <c:h val="0.42167729315154978"/>
        </c:manualLayout>
      </c:layout>
      <c:overlay val="0"/>
      <c:spPr>
        <a:solidFill>
          <a:schemeClr val="bg2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 dinâmica5</c:name>
    <c:fmtId val="4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pt-BR" sz="1600" b="1" i="0" u="none" strike="noStrike" baseline="0"/>
              <a:t>Status de Renovação</a:t>
            </a:r>
            <a:endParaRPr lang="en-US" sz="16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/>
          </a:solidFill>
          <a:ln>
            <a:noFill/>
          </a:ln>
          <a:effectLst/>
        </c:spPr>
      </c:pivotFmt>
      <c:pivotFmt>
        <c:idx val="2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2"/>
          </a:solidFill>
          <a:ln>
            <a:noFill/>
          </a:ln>
          <a:effectLst/>
        </c:spPr>
      </c:pivotFmt>
      <c:pivotFmt>
        <c:idx val="4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2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CDE-40FC-90B6-3526F6319E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C̳álculos!$A$22:$A$24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C̳álculos!$B$22:$B$24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DE-40FC-90B6-3526F6319E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42971440"/>
        <c:axId val="1942968080"/>
      </c:barChart>
      <c:catAx>
        <c:axId val="194297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942968080"/>
        <c:crosses val="autoZero"/>
        <c:auto val="1"/>
        <c:lblAlgn val="ctr"/>
        <c:lblOffset val="100"/>
        <c:noMultiLvlLbl val="0"/>
      </c:catAx>
      <c:valAx>
        <c:axId val="194296808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94297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svg"/><Relationship Id="rId3" Type="http://schemas.openxmlformats.org/officeDocument/2006/relationships/image" Target="../media/image6.png"/><Relationship Id="rId7" Type="http://schemas.openxmlformats.org/officeDocument/2006/relationships/image" Target="../media/image9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152399</xdr:colOff>
      <xdr:row>0</xdr:row>
      <xdr:rowOff>161925</xdr:rowOff>
    </xdr:from>
    <xdr:to>
      <xdr:col>27</xdr:col>
      <xdr:colOff>350520</xdr:colOff>
      <xdr:row>5</xdr:row>
      <xdr:rowOff>104775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DB8C8316-3722-843D-CCF1-14F66EEE597B}"/>
            </a:ext>
          </a:extLst>
        </xdr:cNvPr>
        <xdr:cNvSpPr/>
      </xdr:nvSpPr>
      <xdr:spPr>
        <a:xfrm>
          <a:off x="152399" y="161925"/>
          <a:ext cx="16901161" cy="963930"/>
        </a:xfrm>
        <a:prstGeom prst="roundRect">
          <a:avLst>
            <a:gd name="adj" fmla="val 18248"/>
          </a:avLst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457200</xdr:colOff>
      <xdr:row>16</xdr:row>
      <xdr:rowOff>131445</xdr:rowOff>
    </xdr:from>
    <xdr:to>
      <xdr:col>27</xdr:col>
      <xdr:colOff>381000</xdr:colOff>
      <xdr:row>27</xdr:row>
      <xdr:rowOff>15240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83FD8051-4F3B-446C-A8B6-C24824CC8BCB}"/>
            </a:ext>
          </a:extLst>
        </xdr:cNvPr>
        <xdr:cNvSpPr/>
      </xdr:nvSpPr>
      <xdr:spPr>
        <a:xfrm>
          <a:off x="9845040" y="3347085"/>
          <a:ext cx="7239000" cy="1895475"/>
        </a:xfrm>
        <a:prstGeom prst="roundRect">
          <a:avLst>
            <a:gd name="adj" fmla="val 3831"/>
          </a:avLst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203835</xdr:colOff>
      <xdr:row>16</xdr:row>
      <xdr:rowOff>116205</xdr:rowOff>
    </xdr:from>
    <xdr:to>
      <xdr:col>15</xdr:col>
      <xdr:colOff>280035</xdr:colOff>
      <xdr:row>27</xdr:row>
      <xdr:rowOff>0</xdr:rowOff>
    </xdr:to>
    <xdr:sp macro="" textlink="">
      <xdr:nvSpPr>
        <xdr:cNvPr id="23" name="Retângulo: Cantos Arredondados 22">
          <a:extLst>
            <a:ext uri="{FF2B5EF4-FFF2-40B4-BE49-F238E27FC236}">
              <a16:creationId xmlns:a16="http://schemas.microsoft.com/office/drawing/2014/main" id="{49BE05BC-D0F9-4525-8B6F-7E234955181D}"/>
            </a:ext>
          </a:extLst>
        </xdr:cNvPr>
        <xdr:cNvSpPr/>
      </xdr:nvSpPr>
      <xdr:spPr>
        <a:xfrm>
          <a:off x="2428875" y="3331845"/>
          <a:ext cx="7239000" cy="1895475"/>
        </a:xfrm>
        <a:prstGeom prst="roundRect">
          <a:avLst>
            <a:gd name="adj" fmla="val 3831"/>
          </a:avLst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148590</xdr:colOff>
      <xdr:row>6</xdr:row>
      <xdr:rowOff>227888</xdr:rowOff>
    </xdr:from>
    <xdr:to>
      <xdr:col>3</xdr:col>
      <xdr:colOff>15240</xdr:colOff>
      <xdr:row>50</xdr:row>
      <xdr:rowOff>60960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FB11DBA4-7669-94CC-99F7-7EDC5A97BC3A}"/>
            </a:ext>
          </a:extLst>
        </xdr:cNvPr>
        <xdr:cNvSpPr/>
      </xdr:nvSpPr>
      <xdr:spPr>
        <a:xfrm>
          <a:off x="148590" y="1370888"/>
          <a:ext cx="2091690" cy="8123632"/>
        </a:xfrm>
        <a:prstGeom prst="roundRect">
          <a:avLst>
            <a:gd name="adj" fmla="val 7236"/>
          </a:avLst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203835</xdr:colOff>
      <xdr:row>6</xdr:row>
      <xdr:rowOff>227888</xdr:rowOff>
    </xdr:from>
    <xdr:to>
      <xdr:col>15</xdr:col>
      <xdr:colOff>280035</xdr:colOff>
      <xdr:row>15</xdr:row>
      <xdr:rowOff>107677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A28A96CE-4375-3268-692E-555FF766920D}"/>
            </a:ext>
          </a:extLst>
        </xdr:cNvPr>
        <xdr:cNvSpPr/>
      </xdr:nvSpPr>
      <xdr:spPr>
        <a:xfrm>
          <a:off x="2428875" y="1370888"/>
          <a:ext cx="7239000" cy="1769549"/>
        </a:xfrm>
        <a:prstGeom prst="roundRect">
          <a:avLst>
            <a:gd name="adj" fmla="val 3831"/>
          </a:avLst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466725</xdr:colOff>
      <xdr:row>6</xdr:row>
      <xdr:rowOff>227888</xdr:rowOff>
    </xdr:from>
    <xdr:to>
      <xdr:col>27</xdr:col>
      <xdr:colOff>381000</xdr:colOff>
      <xdr:row>15</xdr:row>
      <xdr:rowOff>100555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F18AB9E6-F402-4D88-9F8F-6BBFF2D5F26A}"/>
            </a:ext>
          </a:extLst>
        </xdr:cNvPr>
        <xdr:cNvSpPr/>
      </xdr:nvSpPr>
      <xdr:spPr>
        <a:xfrm>
          <a:off x="9854565" y="1370888"/>
          <a:ext cx="7229475" cy="1762427"/>
        </a:xfrm>
        <a:prstGeom prst="roundRect">
          <a:avLst>
            <a:gd name="adj" fmla="val 3831"/>
          </a:avLst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264795</xdr:colOff>
      <xdr:row>28</xdr:row>
      <xdr:rowOff>51435</xdr:rowOff>
    </xdr:from>
    <xdr:to>
      <xdr:col>27</xdr:col>
      <xdr:colOff>381000</xdr:colOff>
      <xdr:row>50</xdr:row>
      <xdr:rowOff>60960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36DD00A8-95F2-4EAE-970D-974AF56E6AAD}"/>
            </a:ext>
          </a:extLst>
        </xdr:cNvPr>
        <xdr:cNvSpPr/>
      </xdr:nvSpPr>
      <xdr:spPr>
        <a:xfrm>
          <a:off x="2489835" y="5461635"/>
          <a:ext cx="14594205" cy="4032885"/>
        </a:xfrm>
        <a:prstGeom prst="roundRect">
          <a:avLst>
            <a:gd name="adj" fmla="val 3819"/>
          </a:avLst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106680</xdr:colOff>
      <xdr:row>6</xdr:row>
      <xdr:rowOff>167640</xdr:rowOff>
    </xdr:from>
    <xdr:to>
      <xdr:col>27</xdr:col>
      <xdr:colOff>15240</xdr:colOff>
      <xdr:row>9</xdr:row>
      <xdr:rowOff>60960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69B960C0-D24E-DFCF-D825-85EFB770D6CC}"/>
            </a:ext>
          </a:extLst>
        </xdr:cNvPr>
        <xdr:cNvSpPr txBox="1"/>
      </xdr:nvSpPr>
      <xdr:spPr>
        <a:xfrm>
          <a:off x="10104120" y="1310640"/>
          <a:ext cx="661416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SUBSCRIPTIONS MINECRAFT SEASON PASS</a:t>
          </a:r>
        </a:p>
      </xdr:txBody>
    </xdr:sp>
    <xdr:clientData/>
  </xdr:twoCellAnchor>
  <xdr:twoCellAnchor>
    <xdr:from>
      <xdr:col>4</xdr:col>
      <xdr:colOff>60960</xdr:colOff>
      <xdr:row>6</xdr:row>
      <xdr:rowOff>228600</xdr:rowOff>
    </xdr:from>
    <xdr:to>
      <xdr:col>14</xdr:col>
      <xdr:colOff>487680</xdr:colOff>
      <xdr:row>9</xdr:row>
      <xdr:rowOff>91440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C8242F54-504C-5A6B-0264-10E5404949BB}"/>
            </a:ext>
          </a:extLst>
        </xdr:cNvPr>
        <xdr:cNvSpPr txBox="1"/>
      </xdr:nvSpPr>
      <xdr:spPr>
        <a:xfrm>
          <a:off x="2895600" y="1371600"/>
          <a:ext cx="6370320" cy="655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SUBSCRIPTIONS EA PLAY SEASON PASS</a:t>
          </a:r>
        </a:p>
      </xdr:txBody>
    </xdr:sp>
    <xdr:clientData/>
  </xdr:twoCellAnchor>
  <xdr:twoCellAnchor>
    <xdr:from>
      <xdr:col>3</xdr:col>
      <xdr:colOff>106680</xdr:colOff>
      <xdr:row>28</xdr:row>
      <xdr:rowOff>76200</xdr:rowOff>
    </xdr:from>
    <xdr:to>
      <xdr:col>14</xdr:col>
      <xdr:colOff>213360</xdr:colOff>
      <xdr:row>32</xdr:row>
      <xdr:rowOff>106680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905FD189-E15F-2DE3-FE9A-64AB6D974F23}"/>
            </a:ext>
          </a:extLst>
        </xdr:cNvPr>
        <xdr:cNvSpPr txBox="1"/>
      </xdr:nvSpPr>
      <xdr:spPr>
        <a:xfrm>
          <a:off x="2331720" y="5486400"/>
          <a:ext cx="6659880" cy="76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SUBSCRIPTIONS XBOX GAME PASS</a:t>
          </a:r>
        </a:p>
      </xdr:txBody>
    </xdr:sp>
    <xdr:clientData/>
  </xdr:twoCellAnchor>
  <xdr:twoCellAnchor>
    <xdr:from>
      <xdr:col>8</xdr:col>
      <xdr:colOff>392430</xdr:colOff>
      <xdr:row>8</xdr:row>
      <xdr:rowOff>11430</xdr:rowOff>
    </xdr:from>
    <xdr:to>
      <xdr:col>14</xdr:col>
      <xdr:colOff>274320</xdr:colOff>
      <xdr:row>15</xdr:row>
      <xdr:rowOff>11430</xdr:rowOff>
    </xdr:to>
    <xdr:sp macro="" textlink="C̳álculos!B7">
      <xdr:nvSpPr>
        <xdr:cNvPr id="16" name="CaixaDeTexto 15">
          <a:extLst>
            <a:ext uri="{FF2B5EF4-FFF2-40B4-BE49-F238E27FC236}">
              <a16:creationId xmlns:a16="http://schemas.microsoft.com/office/drawing/2014/main" id="{38F723D2-4F22-FA7C-D3EE-8EB94A85B6DC}"/>
            </a:ext>
          </a:extLst>
        </xdr:cNvPr>
        <xdr:cNvSpPr txBox="1"/>
      </xdr:nvSpPr>
      <xdr:spPr>
        <a:xfrm>
          <a:off x="5665470" y="1764030"/>
          <a:ext cx="3387090" cy="1280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F80D878-5A5E-4E7C-A650-2612D66AD244}" type="TxLink">
            <a:rPr lang="en-US" sz="4000" b="0" i="0" u="none" strike="noStrike">
              <a:solidFill>
                <a:schemeClr val="accent3">
                  <a:lumMod val="60000"/>
                  <a:lumOff val="4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R$ 990,00</a:t>
          </a:fld>
          <a:endParaRPr lang="pt-BR" sz="4000" b="0">
            <a:solidFill>
              <a:schemeClr val="accent3">
                <a:lumMod val="60000"/>
                <a:lumOff val="4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20</xdr:col>
      <xdr:colOff>228600</xdr:colOff>
      <xdr:row>8</xdr:row>
      <xdr:rowOff>7918</xdr:rowOff>
    </xdr:from>
    <xdr:to>
      <xdr:col>26</xdr:col>
      <xdr:colOff>350520</xdr:colOff>
      <xdr:row>15</xdr:row>
      <xdr:rowOff>38398</xdr:rowOff>
    </xdr:to>
    <xdr:sp macro="" textlink="C̳álculos!B11">
      <xdr:nvSpPr>
        <xdr:cNvPr id="18" name="CaixaDeTexto 17">
          <a:extLst>
            <a:ext uri="{FF2B5EF4-FFF2-40B4-BE49-F238E27FC236}">
              <a16:creationId xmlns:a16="http://schemas.microsoft.com/office/drawing/2014/main" id="{5A966850-E367-C562-F53D-71E6F129F1A2}"/>
            </a:ext>
          </a:extLst>
        </xdr:cNvPr>
        <xdr:cNvSpPr txBox="1"/>
      </xdr:nvSpPr>
      <xdr:spPr>
        <a:xfrm>
          <a:off x="12664440" y="1760518"/>
          <a:ext cx="3779520" cy="1310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F7CD4CC-44A0-4D17-BA6B-1A5D0E894936}" type="TxLink">
            <a:rPr lang="en-US" sz="4000" b="0" i="0" u="none" strike="noStrike">
              <a:solidFill>
                <a:schemeClr val="accent3">
                  <a:lumMod val="60000"/>
                  <a:lumOff val="4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R$ 1.140,00</a:t>
          </a:fld>
          <a:endParaRPr lang="pt-BR" sz="4000" b="0">
            <a:solidFill>
              <a:schemeClr val="accent3">
                <a:lumMod val="60000"/>
                <a:lumOff val="4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3</xdr:col>
      <xdr:colOff>457200</xdr:colOff>
      <xdr:row>19</xdr:row>
      <xdr:rowOff>0</xdr:rowOff>
    </xdr:from>
    <xdr:to>
      <xdr:col>14</xdr:col>
      <xdr:colOff>594360</xdr:colOff>
      <xdr:row>26</xdr:row>
      <xdr:rowOff>137160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368CF5FB-78AF-4F8D-AE78-DDAE9BEDE5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91440</xdr:colOff>
      <xdr:row>16</xdr:row>
      <xdr:rowOff>83820</xdr:rowOff>
    </xdr:from>
    <xdr:to>
      <xdr:col>13</xdr:col>
      <xdr:colOff>91440</xdr:colOff>
      <xdr:row>19</xdr:row>
      <xdr:rowOff>68580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268FC7CA-BEFA-5535-EB07-F7389834B22A}"/>
            </a:ext>
          </a:extLst>
        </xdr:cNvPr>
        <xdr:cNvSpPr txBox="1"/>
      </xdr:nvSpPr>
      <xdr:spPr>
        <a:xfrm>
          <a:off x="3535680" y="3299460"/>
          <a:ext cx="47244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Faturamento por Plano</a:t>
          </a:r>
        </a:p>
      </xdr:txBody>
    </xdr:sp>
    <xdr:clientData/>
  </xdr:twoCellAnchor>
  <xdr:twoCellAnchor>
    <xdr:from>
      <xdr:col>4</xdr:col>
      <xdr:colOff>137160</xdr:colOff>
      <xdr:row>31</xdr:row>
      <xdr:rowOff>161290</xdr:rowOff>
    </xdr:from>
    <xdr:to>
      <xdr:col>26</xdr:col>
      <xdr:colOff>304800</xdr:colOff>
      <xdr:row>47</xdr:row>
      <xdr:rowOff>60960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4BFFB956-A458-40E0-8E3A-8D4239941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472440</xdr:colOff>
      <xdr:row>6</xdr:row>
      <xdr:rowOff>304800</xdr:rowOff>
    </xdr:from>
    <xdr:to>
      <xdr:col>2</xdr:col>
      <xdr:colOff>228600</xdr:colOff>
      <xdr:row>13</xdr:row>
      <xdr:rowOff>91440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568F9598-850E-48AF-9581-85B67737ECCD}"/>
            </a:ext>
          </a:extLst>
        </xdr:cNvPr>
        <xdr:cNvSpPr/>
      </xdr:nvSpPr>
      <xdr:spPr>
        <a:xfrm>
          <a:off x="472440" y="1447800"/>
          <a:ext cx="1371600" cy="1310640"/>
        </a:xfrm>
        <a:prstGeom prst="ellipse">
          <a:avLst/>
        </a:prstGeom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213360</xdr:colOff>
      <xdr:row>1</xdr:row>
      <xdr:rowOff>121920</xdr:rowOff>
    </xdr:from>
    <xdr:to>
      <xdr:col>27</xdr:col>
      <xdr:colOff>243840</xdr:colOff>
      <xdr:row>5</xdr:row>
      <xdr:rowOff>91440</xdr:rowOff>
    </xdr:to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5B89C980-FFFD-F654-C13F-54C7769FCED6}"/>
            </a:ext>
          </a:extLst>
        </xdr:cNvPr>
        <xdr:cNvSpPr txBox="1"/>
      </xdr:nvSpPr>
      <xdr:spPr>
        <a:xfrm>
          <a:off x="213360" y="307079"/>
          <a:ext cx="16794480" cy="7884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3600" b="1" u="none">
              <a:solidFill>
                <a:schemeClr val="accent3">
                  <a:lumMod val="60000"/>
                  <a:lumOff val="4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     </a:t>
          </a:r>
          <a:r>
            <a:rPr lang="pt-BR" sz="3600" b="1" u="none" baseline="0">
              <a:solidFill>
                <a:schemeClr val="accent3">
                  <a:lumMod val="60000"/>
                  <a:lumOff val="4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pt-BR" sz="3600" b="1" u="none">
              <a:solidFill>
                <a:schemeClr val="accent3">
                  <a:lumMod val="60000"/>
                  <a:lumOff val="4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XBOX GAME PASS SUBSCRIPTIONS SALES                                                         </a:t>
          </a:r>
        </a:p>
      </xdr:txBody>
    </xdr:sp>
    <xdr:clientData/>
  </xdr:twoCellAnchor>
  <xdr:twoCellAnchor>
    <xdr:from>
      <xdr:col>0</xdr:col>
      <xdr:colOff>502920</xdr:colOff>
      <xdr:row>0</xdr:row>
      <xdr:rowOff>0</xdr:rowOff>
    </xdr:from>
    <xdr:to>
      <xdr:col>27</xdr:col>
      <xdr:colOff>563880</xdr:colOff>
      <xdr:row>5</xdr:row>
      <xdr:rowOff>91440</xdr:rowOff>
    </xdr:to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0B433732-DBA0-9B18-24F2-93F47075CE37}"/>
            </a:ext>
          </a:extLst>
        </xdr:cNvPr>
        <xdr:cNvSpPr txBox="1"/>
      </xdr:nvSpPr>
      <xdr:spPr>
        <a:xfrm>
          <a:off x="502920" y="0"/>
          <a:ext cx="16824960" cy="10955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6000">
              <a:solidFill>
                <a:schemeClr val="accent3">
                  <a:lumMod val="60000"/>
                  <a:lumOff val="4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____________________________________________________</a:t>
          </a:r>
          <a:endParaRPr lang="pt-BR" sz="34400">
            <a:solidFill>
              <a:schemeClr val="accent3">
                <a:lumMod val="60000"/>
                <a:lumOff val="4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121920</xdr:colOff>
      <xdr:row>0</xdr:row>
      <xdr:rowOff>91440</xdr:rowOff>
    </xdr:from>
    <xdr:to>
      <xdr:col>0</xdr:col>
      <xdr:colOff>1127760</xdr:colOff>
      <xdr:row>6</xdr:row>
      <xdr:rowOff>101568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A4A95E14-8958-4BEF-AE57-ED0CE81F0B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21920" y="91440"/>
          <a:ext cx="1005840" cy="1153128"/>
        </a:xfrm>
        <a:prstGeom prst="rect">
          <a:avLst/>
        </a:prstGeom>
      </xdr:spPr>
    </xdr:pic>
    <xdr:clientData/>
  </xdr:twoCellAnchor>
  <xdr:twoCellAnchor editAs="oneCell">
    <xdr:from>
      <xdr:col>0</xdr:col>
      <xdr:colOff>243840</xdr:colOff>
      <xdr:row>16</xdr:row>
      <xdr:rowOff>60961</xdr:rowOff>
    </xdr:from>
    <xdr:to>
      <xdr:col>2</xdr:col>
      <xdr:colOff>457200</xdr:colOff>
      <xdr:row>23</xdr:row>
      <xdr:rowOff>121921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3" name="Subscription Type">
              <a:extLst>
                <a:ext uri="{FF2B5EF4-FFF2-40B4-BE49-F238E27FC236}">
                  <a16:creationId xmlns:a16="http://schemas.microsoft.com/office/drawing/2014/main" id="{0278A35D-4F20-4029-22EA-74749998E0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3840" y="3276601"/>
              <a:ext cx="1828800" cy="1341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289560</xdr:colOff>
      <xdr:row>13</xdr:row>
      <xdr:rowOff>167640</xdr:rowOff>
    </xdr:from>
    <xdr:to>
      <xdr:col>2</xdr:col>
      <xdr:colOff>563880</xdr:colOff>
      <xdr:row>15</xdr:row>
      <xdr:rowOff>91440</xdr:rowOff>
    </xdr:to>
    <xdr:sp macro="" textlink="">
      <xdr:nvSpPr>
        <xdr:cNvPr id="50" name="Retângulo 49">
          <a:extLst>
            <a:ext uri="{FF2B5EF4-FFF2-40B4-BE49-F238E27FC236}">
              <a16:creationId xmlns:a16="http://schemas.microsoft.com/office/drawing/2014/main" id="{535B113B-5C51-4788-BA42-04887D11977A}"/>
            </a:ext>
          </a:extLst>
        </xdr:cNvPr>
        <xdr:cNvSpPr/>
      </xdr:nvSpPr>
      <xdr:spPr>
        <a:xfrm>
          <a:off x="289560" y="2834640"/>
          <a:ext cx="188976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 b="1" kern="1200">
              <a:latin typeface="Segoe UI" panose="020B0502040204020203" pitchFamily="34" charset="0"/>
              <a:cs typeface="Segoe UI" panose="020B0502040204020203" pitchFamily="34" charset="0"/>
            </a:rPr>
            <a:t>&gt; bem vindo, Sergio</a:t>
          </a:r>
        </a:p>
      </xdr:txBody>
    </xdr:sp>
    <xdr:clientData/>
  </xdr:twoCellAnchor>
  <xdr:twoCellAnchor editAs="oneCell">
    <xdr:from>
      <xdr:col>3</xdr:col>
      <xdr:colOff>579120</xdr:colOff>
      <xdr:row>5</xdr:row>
      <xdr:rowOff>76199</xdr:rowOff>
    </xdr:from>
    <xdr:to>
      <xdr:col>8</xdr:col>
      <xdr:colOff>320040</xdr:colOff>
      <xdr:row>18</xdr:row>
      <xdr:rowOff>182784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B85E7E53-F477-48C9-902D-0FB4097A6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4160" y="1097279"/>
          <a:ext cx="2788920" cy="2666905"/>
        </a:xfrm>
        <a:prstGeom prst="rect">
          <a:avLst/>
        </a:prstGeom>
      </xdr:spPr>
    </xdr:pic>
    <xdr:clientData/>
  </xdr:twoCellAnchor>
  <xdr:twoCellAnchor editAs="absolute">
    <xdr:from>
      <xdr:col>16</xdr:col>
      <xdr:colOff>198120</xdr:colOff>
      <xdr:row>9</xdr:row>
      <xdr:rowOff>76200</xdr:rowOff>
    </xdr:from>
    <xdr:to>
      <xdr:col>19</xdr:col>
      <xdr:colOff>533400</xdr:colOff>
      <xdr:row>14</xdr:row>
      <xdr:rowOff>45720</xdr:rowOff>
    </xdr:to>
    <xdr:grpSp>
      <xdr:nvGrpSpPr>
        <xdr:cNvPr id="52" name="Agrupar 51">
          <a:extLst>
            <a:ext uri="{FF2B5EF4-FFF2-40B4-BE49-F238E27FC236}">
              <a16:creationId xmlns:a16="http://schemas.microsoft.com/office/drawing/2014/main" id="{C96410A3-6666-4A18-8E28-8364FC6F7E4E}"/>
            </a:ext>
          </a:extLst>
        </xdr:cNvPr>
        <xdr:cNvGrpSpPr/>
      </xdr:nvGrpSpPr>
      <xdr:grpSpPr>
        <a:xfrm>
          <a:off x="10195560" y="2011680"/>
          <a:ext cx="2164080" cy="883920"/>
          <a:chOff x="3495675" y="5400674"/>
          <a:chExt cx="1549476" cy="752476"/>
        </a:xfrm>
      </xdr:grpSpPr>
      <xdr:pic>
        <xdr:nvPicPr>
          <xdr:cNvPr id="53" name="Imagem 52">
            <a:extLst>
              <a:ext uri="{FF2B5EF4-FFF2-40B4-BE49-F238E27FC236}">
                <a16:creationId xmlns:a16="http://schemas.microsoft.com/office/drawing/2014/main" id="{91DA3FD6-6BFB-3640-E1D9-910443C5E19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54" name="Gráfico 53">
            <a:extLst>
              <a:ext uri="{FF2B5EF4-FFF2-40B4-BE49-F238E27FC236}">
                <a16:creationId xmlns:a16="http://schemas.microsoft.com/office/drawing/2014/main" id="{BBB44F79-A03A-EDE1-9AF9-8ED72A7BA3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absolute">
    <xdr:from>
      <xdr:col>0</xdr:col>
      <xdr:colOff>855006</xdr:colOff>
      <xdr:row>5</xdr:row>
      <xdr:rowOff>70076</xdr:rowOff>
    </xdr:from>
    <xdr:to>
      <xdr:col>8</xdr:col>
      <xdr:colOff>183375</xdr:colOff>
      <xdr:row>6</xdr:row>
      <xdr:rowOff>155248</xdr:rowOff>
    </xdr:to>
    <xdr:sp macro="" textlink="">
      <xdr:nvSpPr>
        <xdr:cNvPr id="55" name="Retângulo 54">
          <a:extLst>
            <a:ext uri="{FF2B5EF4-FFF2-40B4-BE49-F238E27FC236}">
              <a16:creationId xmlns:a16="http://schemas.microsoft.com/office/drawing/2014/main" id="{A18916C3-6D53-4F9B-B6DD-0DBEA6F26AE0}"/>
            </a:ext>
          </a:extLst>
        </xdr:cNvPr>
        <xdr:cNvSpPr/>
      </xdr:nvSpPr>
      <xdr:spPr>
        <a:xfrm>
          <a:off x="855006" y="1074207"/>
          <a:ext cx="4619640" cy="2062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/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>
    <xdr:from>
      <xdr:col>16</xdr:col>
      <xdr:colOff>411480</xdr:colOff>
      <xdr:row>17</xdr:row>
      <xdr:rowOff>0</xdr:rowOff>
    </xdr:from>
    <xdr:to>
      <xdr:col>26</xdr:col>
      <xdr:colOff>320040</xdr:colOff>
      <xdr:row>19</xdr:row>
      <xdr:rowOff>91440</xdr:rowOff>
    </xdr:to>
    <xdr:sp macro="" textlink="">
      <xdr:nvSpPr>
        <xdr:cNvPr id="60" name="CaixaDeTexto 59">
          <a:extLst>
            <a:ext uri="{FF2B5EF4-FFF2-40B4-BE49-F238E27FC236}">
              <a16:creationId xmlns:a16="http://schemas.microsoft.com/office/drawing/2014/main" id="{2D638296-55CF-B1FC-BD04-4E99B70D5828}"/>
            </a:ext>
          </a:extLst>
        </xdr:cNvPr>
        <xdr:cNvSpPr txBox="1"/>
      </xdr:nvSpPr>
      <xdr:spPr>
        <a:xfrm>
          <a:off x="10408920" y="3398520"/>
          <a:ext cx="600456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Faturamento Anual</a:t>
          </a:r>
        </a:p>
      </xdr:txBody>
    </xdr:sp>
    <xdr:clientData/>
  </xdr:twoCellAnchor>
  <xdr:twoCellAnchor>
    <xdr:from>
      <xdr:col>18</xdr:col>
      <xdr:colOff>163830</xdr:colOff>
      <xdr:row>18</xdr:row>
      <xdr:rowOff>167640</xdr:rowOff>
    </xdr:from>
    <xdr:to>
      <xdr:col>24</xdr:col>
      <xdr:colOff>548640</xdr:colOff>
      <xdr:row>25</xdr:row>
      <xdr:rowOff>167640</xdr:rowOff>
    </xdr:to>
    <xdr:sp macro="" textlink="C̳álculos!B2">
      <xdr:nvSpPr>
        <xdr:cNvPr id="61" name="CaixaDeTexto 60">
          <a:extLst>
            <a:ext uri="{FF2B5EF4-FFF2-40B4-BE49-F238E27FC236}">
              <a16:creationId xmlns:a16="http://schemas.microsoft.com/office/drawing/2014/main" id="{60409470-B0C8-C221-F20D-B06B5BECAA57}"/>
            </a:ext>
          </a:extLst>
        </xdr:cNvPr>
        <xdr:cNvSpPr txBox="1"/>
      </xdr:nvSpPr>
      <xdr:spPr>
        <a:xfrm>
          <a:off x="11380470" y="3749040"/>
          <a:ext cx="4042410" cy="1280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6323530-6C2A-4FBD-8EB0-9B9AFDD6A518}" type="TxLink">
            <a:rPr lang="en-US" sz="4000" b="0" i="0" u="none" strike="noStrike">
              <a:solidFill>
                <a:schemeClr val="accent3">
                  <a:lumMod val="60000"/>
                  <a:lumOff val="4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R$ 3.571,00</a:t>
          </a:fld>
          <a:endParaRPr lang="pt-BR" sz="4000" b="0">
            <a:solidFill>
              <a:schemeClr val="accent3">
                <a:lumMod val="60000"/>
                <a:lumOff val="4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Hugo Nogueira Souza" refreshedDate="46170.497357523149" createdVersion="8" refreshedVersion="8" minRefreshableVersion="3" recordCount="295" xr:uid="{6C526C29-4F18-41DD-8F08-7C9214FBF2BF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8154328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x v="0"/>
    <s v="Yes"/>
    <n v="20"/>
    <n v="5"/>
    <n v="60"/>
  </r>
  <r>
    <n v="3232"/>
    <s v="Maria Oliveira"/>
    <x v="1"/>
    <d v="2024-01-15T00:00:00"/>
    <x v="1"/>
    <n v="5"/>
    <x v="1"/>
    <s v="No"/>
    <x v="1"/>
    <s v="No"/>
    <n v="0"/>
    <n v="0"/>
    <n v="5"/>
  </r>
  <r>
    <n v="3233"/>
    <s v="Lucas Fernandes"/>
    <x v="2"/>
    <d v="2024-02-10T00:00:00"/>
    <x v="0"/>
    <n v="10"/>
    <x v="2"/>
    <s v="No"/>
    <x v="1"/>
    <s v="Yes"/>
    <n v="20"/>
    <n v="10"/>
    <n v="20"/>
  </r>
  <r>
    <n v="3234"/>
    <s v="Ana Souza"/>
    <x v="0"/>
    <d v="2024-02-20T00:00:00"/>
    <x v="1"/>
    <n v="15"/>
    <x v="0"/>
    <s v="Yes"/>
    <x v="0"/>
    <s v="Yes"/>
    <n v="20"/>
    <n v="3"/>
    <n v="62"/>
  </r>
  <r>
    <n v="3235"/>
    <s v="Pedro Gonçalves"/>
    <x v="1"/>
    <d v="2024-03-05T00:00:00"/>
    <x v="0"/>
    <n v="5"/>
    <x v="0"/>
    <s v="No"/>
    <x v="1"/>
    <s v="No"/>
    <n v="0"/>
    <n v="1"/>
    <n v="4"/>
  </r>
  <r>
    <n v="3236"/>
    <s v="Felipe Costa"/>
    <x v="2"/>
    <d v="2024-03-02T00:00:00"/>
    <x v="1"/>
    <n v="10"/>
    <x v="0"/>
    <s v="No"/>
    <x v="1"/>
    <s v="Yes"/>
    <n v="20"/>
    <n v="2"/>
    <n v="28"/>
  </r>
  <r>
    <n v="3237"/>
    <s v="Camila Ribeiro"/>
    <x v="0"/>
    <d v="2024-03-03T00:00:00"/>
    <x v="0"/>
    <n v="15"/>
    <x v="2"/>
    <s v="Yes"/>
    <x v="0"/>
    <s v="Yes"/>
    <n v="20"/>
    <n v="10"/>
    <n v="55"/>
  </r>
  <r>
    <n v="3238"/>
    <s v="André Mendes"/>
    <x v="1"/>
    <d v="2024-03-04T00:00:00"/>
    <x v="0"/>
    <n v="5"/>
    <x v="1"/>
    <s v="No"/>
    <x v="1"/>
    <s v="No"/>
    <n v="0"/>
    <n v="0"/>
    <n v="5"/>
  </r>
  <r>
    <n v="3239"/>
    <s v="Sofia Almeida"/>
    <x v="0"/>
    <d v="2024-03-05T00:00:00"/>
    <x v="1"/>
    <n v="15"/>
    <x v="0"/>
    <s v="Yes"/>
    <x v="0"/>
    <s v="Yes"/>
    <n v="20"/>
    <n v="5"/>
    <n v="60"/>
  </r>
  <r>
    <n v="3240"/>
    <s v="Bruno Martins"/>
    <x v="2"/>
    <d v="2024-03-06T00:00:00"/>
    <x v="0"/>
    <n v="10"/>
    <x v="2"/>
    <s v="No"/>
    <x v="1"/>
    <s v="Yes"/>
    <n v="20"/>
    <n v="15"/>
    <n v="15"/>
  </r>
  <r>
    <n v="3241"/>
    <s v="Rita Castro"/>
    <x v="1"/>
    <d v="2024-03-07T00:00:00"/>
    <x v="1"/>
    <n v="5"/>
    <x v="0"/>
    <s v="No"/>
    <x v="1"/>
    <s v="No"/>
    <n v="0"/>
    <n v="1"/>
    <n v="4"/>
  </r>
  <r>
    <n v="3242"/>
    <s v="Marco Túlio"/>
    <x v="0"/>
    <d v="2024-03-08T00:00:00"/>
    <x v="0"/>
    <n v="15"/>
    <x v="1"/>
    <s v="Yes"/>
    <x v="0"/>
    <s v="Yes"/>
    <n v="20"/>
    <n v="20"/>
    <n v="45"/>
  </r>
  <r>
    <n v="3243"/>
    <s v="Lívia Silveira"/>
    <x v="2"/>
    <d v="2024-03-09T00:00:00"/>
    <x v="1"/>
    <n v="10"/>
    <x v="0"/>
    <s v="No"/>
    <x v="1"/>
    <s v="Yes"/>
    <n v="20"/>
    <n v="10"/>
    <n v="20"/>
  </r>
  <r>
    <n v="3244"/>
    <s v="Diogo Sousa"/>
    <x v="1"/>
    <d v="2024-03-10T00:00:00"/>
    <x v="0"/>
    <n v="5"/>
    <x v="2"/>
    <s v="No"/>
    <x v="1"/>
    <s v="No"/>
    <n v="0"/>
    <n v="0"/>
    <n v="5"/>
  </r>
  <r>
    <n v="3245"/>
    <s v="Fernanda Lima"/>
    <x v="0"/>
    <d v="2024-03-11T00:00:00"/>
    <x v="1"/>
    <n v="15"/>
    <x v="0"/>
    <s v="Yes"/>
    <x v="0"/>
    <s v="Yes"/>
    <n v="20"/>
    <n v="8"/>
    <n v="57"/>
  </r>
  <r>
    <n v="3246"/>
    <s v="Caio Pereira"/>
    <x v="2"/>
    <d v="2024-03-12T00:00:00"/>
    <x v="0"/>
    <n v="10"/>
    <x v="1"/>
    <s v="No"/>
    <x v="1"/>
    <s v="Yes"/>
    <n v="20"/>
    <n v="12"/>
    <n v="18"/>
  </r>
  <r>
    <n v="3247"/>
    <s v="Beatriz Gomes"/>
    <x v="1"/>
    <d v="2024-03-13T00:00:00"/>
    <x v="1"/>
    <n v="5"/>
    <x v="0"/>
    <s v="No"/>
    <x v="1"/>
    <s v="No"/>
    <n v="0"/>
    <n v="2"/>
    <n v="3"/>
  </r>
  <r>
    <n v="3248"/>
    <s v="Cesar Oliveira"/>
    <x v="0"/>
    <d v="2024-03-14T00:00:00"/>
    <x v="0"/>
    <n v="15"/>
    <x v="2"/>
    <s v="Yes"/>
    <x v="0"/>
    <s v="Yes"/>
    <n v="20"/>
    <n v="7"/>
    <n v="58"/>
  </r>
  <r>
    <n v="3249"/>
    <s v="Débora Machado"/>
    <x v="2"/>
    <d v="2024-03-15T00:00:00"/>
    <x v="1"/>
    <n v="10"/>
    <x v="0"/>
    <s v="No"/>
    <x v="1"/>
    <s v="Yes"/>
    <n v="20"/>
    <n v="5"/>
    <n v="25"/>
  </r>
  <r>
    <n v="3250"/>
    <s v="Eduardo Vargas"/>
    <x v="1"/>
    <d v="2024-03-16T00:00:00"/>
    <x v="0"/>
    <n v="5"/>
    <x v="1"/>
    <s v="No"/>
    <x v="1"/>
    <s v="No"/>
    <n v="0"/>
    <n v="0"/>
    <n v="5"/>
  </r>
  <r>
    <n v="3251"/>
    <s v="Gabriela Santos"/>
    <x v="0"/>
    <d v="2024-03-17T00:00:00"/>
    <x v="1"/>
    <n v="15"/>
    <x v="0"/>
    <s v="Yes"/>
    <x v="0"/>
    <s v="Yes"/>
    <n v="20"/>
    <n v="3"/>
    <n v="62"/>
  </r>
  <r>
    <n v="3252"/>
    <s v="Henrique Dias"/>
    <x v="2"/>
    <d v="2024-03-18T00:00:00"/>
    <x v="0"/>
    <n v="10"/>
    <x v="2"/>
    <s v="No"/>
    <x v="1"/>
    <s v="Yes"/>
    <n v="20"/>
    <n v="15"/>
    <n v="15"/>
  </r>
  <r>
    <n v="3253"/>
    <s v="Isabela Moreira"/>
    <x v="1"/>
    <d v="2024-03-19T00:00:00"/>
    <x v="1"/>
    <n v="5"/>
    <x v="0"/>
    <s v="No"/>
    <x v="1"/>
    <s v="No"/>
    <n v="0"/>
    <n v="1"/>
    <n v="4"/>
  </r>
  <r>
    <n v="3254"/>
    <s v="Joaquim Barbosa"/>
    <x v="0"/>
    <d v="2024-03-20T00:00:00"/>
    <x v="0"/>
    <n v="15"/>
    <x v="1"/>
    <s v="Yes"/>
    <x v="0"/>
    <s v="Yes"/>
    <n v="20"/>
    <n v="20"/>
    <n v="45"/>
  </r>
  <r>
    <n v="3255"/>
    <s v="Lara Rocha"/>
    <x v="2"/>
    <d v="2024-03-21T00:00:00"/>
    <x v="1"/>
    <n v="10"/>
    <x v="0"/>
    <s v="No"/>
    <x v="1"/>
    <s v="Yes"/>
    <n v="20"/>
    <n v="10"/>
    <n v="20"/>
  </r>
  <r>
    <n v="3256"/>
    <s v="Matheus Silva"/>
    <x v="1"/>
    <d v="2024-03-22T00:00:00"/>
    <x v="0"/>
    <n v="5"/>
    <x v="2"/>
    <s v="No"/>
    <x v="1"/>
    <s v="No"/>
    <n v="0"/>
    <n v="0"/>
    <n v="5"/>
  </r>
  <r>
    <n v="3257"/>
    <s v="Nicole Costa"/>
    <x v="0"/>
    <d v="2024-03-23T00:00:00"/>
    <x v="1"/>
    <n v="15"/>
    <x v="0"/>
    <s v="Yes"/>
    <x v="0"/>
    <s v="Yes"/>
    <n v="20"/>
    <n v="5"/>
    <n v="60"/>
  </r>
  <r>
    <n v="3258"/>
    <s v="Otávio Mendonça"/>
    <x v="2"/>
    <d v="2024-03-24T00:00:00"/>
    <x v="0"/>
    <n v="10"/>
    <x v="1"/>
    <s v="No"/>
    <x v="1"/>
    <s v="Yes"/>
    <n v="20"/>
    <n v="15"/>
    <n v="15"/>
  </r>
  <r>
    <n v="3259"/>
    <s v="Paula Ferreira"/>
    <x v="1"/>
    <d v="2024-03-25T00:00:00"/>
    <x v="1"/>
    <n v="5"/>
    <x v="0"/>
    <s v="No"/>
    <x v="1"/>
    <s v="No"/>
    <n v="0"/>
    <n v="1"/>
    <n v="4"/>
  </r>
  <r>
    <n v="3260"/>
    <s v="Raquel Alves"/>
    <x v="0"/>
    <d v="2024-03-26T00:00:00"/>
    <x v="0"/>
    <n v="15"/>
    <x v="2"/>
    <s v="Yes"/>
    <x v="0"/>
    <s v="Yes"/>
    <n v="20"/>
    <n v="7"/>
    <n v="58"/>
  </r>
  <r>
    <n v="3261"/>
    <s v="Samuel Pires"/>
    <x v="2"/>
    <d v="2024-03-27T00:00:00"/>
    <x v="1"/>
    <n v="10"/>
    <x v="0"/>
    <s v="No"/>
    <x v="1"/>
    <s v="Yes"/>
    <n v="20"/>
    <n v="10"/>
    <n v="20"/>
  </r>
  <r>
    <n v="3262"/>
    <s v="Tânia Barros"/>
    <x v="1"/>
    <d v="2024-03-28T00:00:00"/>
    <x v="0"/>
    <n v="5"/>
    <x v="1"/>
    <s v="No"/>
    <x v="1"/>
    <s v="No"/>
    <n v="0"/>
    <n v="0"/>
    <n v="5"/>
  </r>
  <r>
    <n v="3263"/>
    <s v="Vinicius Lima"/>
    <x v="0"/>
    <d v="2024-03-29T00:00:00"/>
    <x v="1"/>
    <n v="15"/>
    <x v="0"/>
    <s v="Yes"/>
    <x v="0"/>
    <s v="Yes"/>
    <n v="20"/>
    <n v="3"/>
    <n v="62"/>
  </r>
  <r>
    <n v="3264"/>
    <s v="Yasmin Teixeira"/>
    <x v="2"/>
    <d v="2024-03-30T00:00:00"/>
    <x v="0"/>
    <n v="10"/>
    <x v="2"/>
    <s v="No"/>
    <x v="1"/>
    <s v="Yes"/>
    <n v="20"/>
    <n v="15"/>
    <n v="15"/>
  </r>
  <r>
    <n v="3265"/>
    <s v="Zé Carlos"/>
    <x v="1"/>
    <d v="2024-03-31T00:00:00"/>
    <x v="1"/>
    <n v="5"/>
    <x v="0"/>
    <s v="No"/>
    <x v="1"/>
    <s v="No"/>
    <n v="0"/>
    <n v="1"/>
    <n v="4"/>
  </r>
  <r>
    <n v="3266"/>
    <s v="Amanda Nogueira"/>
    <x v="1"/>
    <d v="2024-04-01T00:00:00"/>
    <x v="0"/>
    <n v="5"/>
    <x v="0"/>
    <s v="No"/>
    <x v="1"/>
    <s v="No"/>
    <n v="0"/>
    <n v="0"/>
    <n v="5"/>
  </r>
  <r>
    <n v="3267"/>
    <s v="Bruno Cavalheiro"/>
    <x v="0"/>
    <d v="2024-04-02T00:00:00"/>
    <x v="1"/>
    <n v="15"/>
    <x v="2"/>
    <s v="Yes"/>
    <x v="0"/>
    <s v="Yes"/>
    <n v="20"/>
    <n v="7"/>
    <n v="58"/>
  </r>
  <r>
    <n v="3268"/>
    <s v="Carla Dias"/>
    <x v="2"/>
    <d v="2024-04-03T00:00:00"/>
    <x v="0"/>
    <n v="10"/>
    <x v="1"/>
    <s v="No"/>
    <x v="1"/>
    <s v="Yes"/>
    <n v="20"/>
    <n v="10"/>
    <n v="20"/>
  </r>
  <r>
    <n v="3269"/>
    <s v="Diego Fontes"/>
    <x v="1"/>
    <d v="2024-04-04T00:00:00"/>
    <x v="1"/>
    <n v="5"/>
    <x v="2"/>
    <s v="No"/>
    <x v="1"/>
    <s v="No"/>
    <n v="0"/>
    <n v="1"/>
    <n v="4"/>
  </r>
  <r>
    <n v="3270"/>
    <s v="Eunice Lima"/>
    <x v="0"/>
    <d v="2024-04-05T00:00:00"/>
    <x v="0"/>
    <n v="15"/>
    <x v="0"/>
    <s v="Yes"/>
    <x v="0"/>
    <s v="Yes"/>
    <n v="20"/>
    <n v="15"/>
    <n v="50"/>
  </r>
  <r>
    <n v="3271"/>
    <s v="Fábio Martins"/>
    <x v="2"/>
    <d v="2024-04-06T00:00:00"/>
    <x v="1"/>
    <n v="10"/>
    <x v="0"/>
    <s v="No"/>
    <x v="1"/>
    <s v="Yes"/>
    <n v="20"/>
    <n v="5"/>
    <n v="25"/>
  </r>
  <r>
    <n v="3272"/>
    <s v="Gisele Araújo"/>
    <x v="1"/>
    <d v="2024-04-07T00:00:00"/>
    <x v="0"/>
    <n v="5"/>
    <x v="1"/>
    <s v="No"/>
    <x v="1"/>
    <s v="No"/>
    <n v="0"/>
    <n v="0"/>
    <n v="5"/>
  </r>
  <r>
    <n v="3273"/>
    <s v="Hélio Castro"/>
    <x v="0"/>
    <d v="2024-04-08T00:00:00"/>
    <x v="1"/>
    <n v="15"/>
    <x v="2"/>
    <s v="Yes"/>
    <x v="0"/>
    <s v="Yes"/>
    <n v="20"/>
    <n v="20"/>
    <n v="45"/>
  </r>
  <r>
    <n v="3274"/>
    <s v="Ingrid Menezes"/>
    <x v="2"/>
    <d v="2024-04-09T00:00:00"/>
    <x v="0"/>
    <n v="10"/>
    <x v="2"/>
    <s v="No"/>
    <x v="1"/>
    <s v="Yes"/>
    <n v="20"/>
    <n v="12"/>
    <n v="18"/>
  </r>
  <r>
    <n v="3275"/>
    <s v="Jorge Baptista"/>
    <x v="1"/>
    <d v="2024-04-10T00:00:00"/>
    <x v="1"/>
    <n v="5"/>
    <x v="0"/>
    <s v="No"/>
    <x v="1"/>
    <s v="No"/>
    <n v="0"/>
    <n v="2"/>
    <n v="3"/>
  </r>
  <r>
    <n v="3276"/>
    <s v="Kléber Oliveira"/>
    <x v="0"/>
    <d v="2024-04-11T00:00:00"/>
    <x v="0"/>
    <n v="15"/>
    <x v="1"/>
    <s v="Yes"/>
    <x v="0"/>
    <s v="Yes"/>
    <n v="20"/>
    <n v="5"/>
    <n v="60"/>
  </r>
  <r>
    <n v="3277"/>
    <s v="Luciana Freitas"/>
    <x v="2"/>
    <d v="2024-04-12T00:00:00"/>
    <x v="1"/>
    <n v="10"/>
    <x v="0"/>
    <s v="No"/>
    <x v="1"/>
    <s v="Yes"/>
    <n v="20"/>
    <n v="10"/>
    <n v="20"/>
  </r>
  <r>
    <n v="3278"/>
    <s v="Márcia Eller"/>
    <x v="1"/>
    <d v="2024-04-13T00:00:00"/>
    <x v="0"/>
    <n v="5"/>
    <x v="2"/>
    <s v="No"/>
    <x v="1"/>
    <s v="No"/>
    <n v="0"/>
    <n v="0"/>
    <n v="5"/>
  </r>
  <r>
    <n v="3279"/>
    <s v="Nilo Peçanha"/>
    <x v="0"/>
    <d v="2024-04-14T00:00:00"/>
    <x v="1"/>
    <n v="15"/>
    <x v="0"/>
    <s v="Yes"/>
    <x v="0"/>
    <s v="Yes"/>
    <n v="20"/>
    <n v="3"/>
    <n v="62"/>
  </r>
  <r>
    <n v="3280"/>
    <s v="Oscar Neves"/>
    <x v="2"/>
    <d v="2024-04-15T00:00:00"/>
    <x v="0"/>
    <n v="10"/>
    <x v="1"/>
    <s v="No"/>
    <x v="1"/>
    <s v="Yes"/>
    <n v="20"/>
    <n v="15"/>
    <n v="15"/>
  </r>
  <r>
    <n v="3281"/>
    <s v="Patrícia Soares"/>
    <x v="1"/>
    <d v="2024-04-16T00:00:00"/>
    <x v="1"/>
    <n v="5"/>
    <x v="0"/>
    <s v="No"/>
    <x v="1"/>
    <s v="No"/>
    <n v="0"/>
    <n v="1"/>
    <n v="4"/>
  </r>
  <r>
    <n v="3282"/>
    <s v="Quirino Gonçalves"/>
    <x v="0"/>
    <d v="2024-04-17T00:00:00"/>
    <x v="0"/>
    <n v="15"/>
    <x v="2"/>
    <s v="Yes"/>
    <x v="0"/>
    <s v="Yes"/>
    <n v="20"/>
    <n v="7"/>
    <n v="58"/>
  </r>
  <r>
    <n v="3283"/>
    <s v="Raul Machado"/>
    <x v="2"/>
    <d v="2024-04-18T00:00:00"/>
    <x v="1"/>
    <n v="10"/>
    <x v="0"/>
    <s v="No"/>
    <x v="1"/>
    <s v="Yes"/>
    <n v="20"/>
    <n v="10"/>
    <n v="20"/>
  </r>
  <r>
    <n v="3284"/>
    <s v="Sônia Lobo"/>
    <x v="1"/>
    <d v="2024-04-19T00:00:00"/>
    <x v="0"/>
    <n v="5"/>
    <x v="1"/>
    <s v="No"/>
    <x v="1"/>
    <s v="No"/>
    <n v="0"/>
    <n v="0"/>
    <n v="5"/>
  </r>
  <r>
    <n v="3285"/>
    <s v="Tiago Ramos"/>
    <x v="0"/>
    <d v="2024-04-20T00:00:00"/>
    <x v="1"/>
    <n v="15"/>
    <x v="0"/>
    <s v="Yes"/>
    <x v="0"/>
    <s v="Yes"/>
    <n v="20"/>
    <n v="20"/>
    <n v="45"/>
  </r>
  <r>
    <n v="3286"/>
    <s v="Ugo Pires"/>
    <x v="2"/>
    <d v="2024-04-21T00:00:00"/>
    <x v="0"/>
    <n v="10"/>
    <x v="2"/>
    <s v="No"/>
    <x v="1"/>
    <s v="Yes"/>
    <n v="20"/>
    <n v="15"/>
    <n v="15"/>
  </r>
  <r>
    <n v="3287"/>
    <s v="Valéria Nobre"/>
    <x v="1"/>
    <d v="2024-04-22T00:00:00"/>
    <x v="1"/>
    <n v="5"/>
    <x v="0"/>
    <s v="No"/>
    <x v="1"/>
    <s v="No"/>
    <n v="0"/>
    <n v="1"/>
    <n v="4"/>
  </r>
  <r>
    <n v="3288"/>
    <s v="William Siqueira"/>
    <x v="0"/>
    <d v="2024-04-23T00:00:00"/>
    <x v="0"/>
    <n v="15"/>
    <x v="1"/>
    <s v="Yes"/>
    <x v="0"/>
    <s v="Yes"/>
    <n v="20"/>
    <n v="3"/>
    <n v="62"/>
  </r>
  <r>
    <n v="3289"/>
    <s v="Xuxa Meneghel"/>
    <x v="2"/>
    <d v="2024-04-24T00:00:00"/>
    <x v="1"/>
    <n v="10"/>
    <x v="0"/>
    <s v="No"/>
    <x v="1"/>
    <s v="Yes"/>
    <n v="20"/>
    <n v="10"/>
    <n v="20"/>
  </r>
  <r>
    <n v="3290"/>
    <s v="Yara Figueiredo"/>
    <x v="1"/>
    <d v="2024-04-25T00:00:00"/>
    <x v="0"/>
    <n v="5"/>
    <x v="2"/>
    <s v="No"/>
    <x v="1"/>
    <s v="No"/>
    <n v="0"/>
    <n v="0"/>
    <n v="5"/>
  </r>
  <r>
    <n v="3291"/>
    <s v="Zacarias Alves"/>
    <x v="0"/>
    <d v="2024-04-26T00:00:00"/>
    <x v="1"/>
    <n v="15"/>
    <x v="0"/>
    <s v="Yes"/>
    <x v="0"/>
    <s v="Yes"/>
    <n v="20"/>
    <n v="5"/>
    <n v="60"/>
  </r>
  <r>
    <n v="3292"/>
    <s v="Amanda Bynes"/>
    <x v="2"/>
    <d v="2024-04-27T00:00:00"/>
    <x v="0"/>
    <n v="10"/>
    <x v="1"/>
    <s v="No"/>
    <x v="1"/>
    <s v="Yes"/>
    <n v="20"/>
    <n v="15"/>
    <n v="15"/>
  </r>
  <r>
    <n v="3293"/>
    <s v="Bruno Mars"/>
    <x v="1"/>
    <d v="2024-04-28T00:00:00"/>
    <x v="1"/>
    <n v="5"/>
    <x v="0"/>
    <s v="No"/>
    <x v="1"/>
    <s v="No"/>
    <n v="0"/>
    <n v="1"/>
    <n v="4"/>
  </r>
  <r>
    <n v="3294"/>
    <s v="Carla Bruni"/>
    <x v="0"/>
    <d v="2024-04-29T00:00:00"/>
    <x v="0"/>
    <n v="15"/>
    <x v="2"/>
    <s v="Yes"/>
    <x v="0"/>
    <s v="Yes"/>
    <n v="20"/>
    <n v="20"/>
    <n v="45"/>
  </r>
  <r>
    <n v="3295"/>
    <s v="Diego Maradona"/>
    <x v="2"/>
    <d v="2024-04-30T00:00:00"/>
    <x v="1"/>
    <n v="10"/>
    <x v="0"/>
    <s v="No"/>
    <x v="1"/>
    <s v="Yes"/>
    <n v="20"/>
    <n v="5"/>
    <n v="25"/>
  </r>
  <r>
    <n v="3296"/>
    <s v="Estela Marques"/>
    <x v="1"/>
    <d v="2024-05-01T00:00:00"/>
    <x v="1"/>
    <n v="5"/>
    <x v="0"/>
    <s v="No"/>
    <x v="1"/>
    <s v="No"/>
    <n v="0"/>
    <n v="0"/>
    <n v="5"/>
  </r>
  <r>
    <n v="3297"/>
    <s v="Fábio Nobre"/>
    <x v="0"/>
    <d v="2024-05-02T00:00:00"/>
    <x v="0"/>
    <n v="15"/>
    <x v="2"/>
    <s v="Yes"/>
    <x v="0"/>
    <s v="Yes"/>
    <n v="20"/>
    <n v="7"/>
    <n v="58"/>
  </r>
  <r>
    <n v="3298"/>
    <s v="Gabriel Oliveira"/>
    <x v="2"/>
    <d v="2024-05-03T00:00:00"/>
    <x v="1"/>
    <n v="10"/>
    <x v="1"/>
    <s v="No"/>
    <x v="1"/>
    <s v="Yes"/>
    <n v="20"/>
    <n v="10"/>
    <n v="20"/>
  </r>
  <r>
    <n v="3299"/>
    <s v="Helena Santos"/>
    <x v="1"/>
    <d v="2024-05-04T00:00:00"/>
    <x v="0"/>
    <n v="5"/>
    <x v="2"/>
    <s v="No"/>
    <x v="1"/>
    <s v="No"/>
    <n v="0"/>
    <n v="1"/>
    <n v="4"/>
  </r>
  <r>
    <n v="3300"/>
    <s v="Ivan Carvalho"/>
    <x v="0"/>
    <d v="2024-05-05T00:00:00"/>
    <x v="1"/>
    <n v="15"/>
    <x v="0"/>
    <s v="Yes"/>
    <x v="0"/>
    <s v="Yes"/>
    <n v="20"/>
    <n v="15"/>
    <n v="50"/>
  </r>
  <r>
    <n v="3301"/>
    <s v="Júlia Ferreira"/>
    <x v="2"/>
    <d v="2024-05-06T00:00:00"/>
    <x v="0"/>
    <n v="10"/>
    <x v="0"/>
    <s v="No"/>
    <x v="1"/>
    <s v="Yes"/>
    <n v="20"/>
    <n v="5"/>
    <n v="25"/>
  </r>
  <r>
    <n v="3302"/>
    <s v="Karla Alves"/>
    <x v="1"/>
    <d v="2024-05-07T00:00:00"/>
    <x v="1"/>
    <n v="5"/>
    <x v="1"/>
    <s v="No"/>
    <x v="1"/>
    <s v="No"/>
    <n v="0"/>
    <n v="0"/>
    <n v="5"/>
  </r>
  <r>
    <n v="3303"/>
    <s v="Lucas Mendes"/>
    <x v="0"/>
    <d v="2024-05-08T00:00:00"/>
    <x v="0"/>
    <n v="15"/>
    <x v="2"/>
    <s v="Yes"/>
    <x v="0"/>
    <s v="Yes"/>
    <n v="20"/>
    <n v="20"/>
    <n v="45"/>
  </r>
  <r>
    <n v="3304"/>
    <s v="Mônica Gomes"/>
    <x v="2"/>
    <d v="2024-05-09T00:00:00"/>
    <x v="1"/>
    <n v="10"/>
    <x v="2"/>
    <s v="No"/>
    <x v="1"/>
    <s v="Yes"/>
    <n v="20"/>
    <n v="12"/>
    <n v="18"/>
  </r>
  <r>
    <n v="3305"/>
    <s v="Norberto Queiroz"/>
    <x v="1"/>
    <d v="2024-05-10T00:00:00"/>
    <x v="0"/>
    <n v="5"/>
    <x v="0"/>
    <s v="No"/>
    <x v="1"/>
    <s v="No"/>
    <n v="0"/>
    <n v="2"/>
    <n v="3"/>
  </r>
  <r>
    <n v="3306"/>
    <s v="Otávio Barros"/>
    <x v="0"/>
    <d v="2024-05-11T00:00:00"/>
    <x v="1"/>
    <n v="15"/>
    <x v="1"/>
    <s v="Yes"/>
    <x v="0"/>
    <s v="Yes"/>
    <n v="20"/>
    <n v="5"/>
    <n v="60"/>
  </r>
  <r>
    <n v="3307"/>
    <s v="Paula Vieira"/>
    <x v="2"/>
    <d v="2024-05-12T00:00:00"/>
    <x v="0"/>
    <n v="10"/>
    <x v="0"/>
    <s v="No"/>
    <x v="1"/>
    <s v="Yes"/>
    <n v="20"/>
    <n v="10"/>
    <n v="20"/>
  </r>
  <r>
    <n v="3308"/>
    <s v="Quentin Ramos"/>
    <x v="1"/>
    <d v="2024-05-13T00:00:00"/>
    <x v="1"/>
    <n v="5"/>
    <x v="2"/>
    <s v="No"/>
    <x v="1"/>
    <s v="No"/>
    <n v="0"/>
    <n v="0"/>
    <n v="5"/>
  </r>
  <r>
    <n v="3309"/>
    <s v="Raquel Novaes"/>
    <x v="0"/>
    <d v="2024-05-14T00:00:00"/>
    <x v="0"/>
    <n v="15"/>
    <x v="0"/>
    <s v="Yes"/>
    <x v="0"/>
    <s v="Yes"/>
    <n v="20"/>
    <n v="3"/>
    <n v="62"/>
  </r>
  <r>
    <n v="3310"/>
    <s v="Samantha Lopes"/>
    <x v="2"/>
    <d v="2024-05-15T00:00:00"/>
    <x v="1"/>
    <n v="10"/>
    <x v="1"/>
    <s v="No"/>
    <x v="1"/>
    <s v="Yes"/>
    <n v="20"/>
    <n v="15"/>
    <n v="15"/>
  </r>
  <r>
    <n v="3311"/>
    <s v="Tiago Martins"/>
    <x v="1"/>
    <d v="2024-05-16T00:00:00"/>
    <x v="0"/>
    <n v="5"/>
    <x v="0"/>
    <s v="No"/>
    <x v="1"/>
    <s v="No"/>
    <n v="0"/>
    <n v="1"/>
    <n v="4"/>
  </r>
  <r>
    <n v="3312"/>
    <s v="Ulysses Guimarães"/>
    <x v="0"/>
    <d v="2024-05-17T00:00:00"/>
    <x v="1"/>
    <n v="15"/>
    <x v="2"/>
    <s v="Yes"/>
    <x v="0"/>
    <s v="Yes"/>
    <n v="20"/>
    <n v="7"/>
    <n v="58"/>
  </r>
  <r>
    <n v="3313"/>
    <s v="Vanessa Silva"/>
    <x v="2"/>
    <d v="2024-05-18T00:00:00"/>
    <x v="0"/>
    <n v="10"/>
    <x v="0"/>
    <s v="No"/>
    <x v="1"/>
    <s v="Yes"/>
    <n v="20"/>
    <n v="10"/>
    <n v="20"/>
  </r>
  <r>
    <n v="3314"/>
    <s v="William Carneiro"/>
    <x v="1"/>
    <d v="2024-05-19T00:00:00"/>
    <x v="1"/>
    <n v="5"/>
    <x v="1"/>
    <s v="No"/>
    <x v="1"/>
    <s v="No"/>
    <n v="0"/>
    <n v="0"/>
    <n v="5"/>
  </r>
  <r>
    <n v="3315"/>
    <s v="Ximena Rocha"/>
    <x v="0"/>
    <d v="2024-05-20T00:00:00"/>
    <x v="0"/>
    <n v="15"/>
    <x v="0"/>
    <s v="Yes"/>
    <x v="0"/>
    <s v="Yes"/>
    <n v="20"/>
    <n v="20"/>
    <n v="45"/>
  </r>
  <r>
    <n v="3316"/>
    <s v="Yasmin Figueiredo"/>
    <x v="2"/>
    <d v="2024-05-21T00:00:00"/>
    <x v="1"/>
    <n v="10"/>
    <x v="2"/>
    <s v="No"/>
    <x v="1"/>
    <s v="Yes"/>
    <n v="20"/>
    <n v="15"/>
    <n v="15"/>
  </r>
  <r>
    <n v="3317"/>
    <s v="Zara Cunha"/>
    <x v="1"/>
    <d v="2024-05-22T00:00:00"/>
    <x v="0"/>
    <n v="5"/>
    <x v="0"/>
    <s v="No"/>
    <x v="1"/>
    <s v="No"/>
    <n v="0"/>
    <n v="1"/>
    <n v="4"/>
  </r>
  <r>
    <n v="3318"/>
    <s v="Alan Teixeira"/>
    <x v="0"/>
    <d v="2024-05-23T00:00:00"/>
    <x v="1"/>
    <n v="15"/>
    <x v="1"/>
    <s v="Yes"/>
    <x v="0"/>
    <s v="Yes"/>
    <n v="20"/>
    <n v="3"/>
    <n v="62"/>
  </r>
  <r>
    <n v="3319"/>
    <s v="Bárbara Oliveira"/>
    <x v="2"/>
    <d v="2024-05-24T00:00:00"/>
    <x v="0"/>
    <n v="10"/>
    <x v="0"/>
    <s v="No"/>
    <x v="1"/>
    <s v="Yes"/>
    <n v="20"/>
    <n v="10"/>
    <n v="20"/>
  </r>
  <r>
    <n v="3320"/>
    <s v="Carlos Junqueira"/>
    <x v="1"/>
    <d v="2024-05-25T00:00:00"/>
    <x v="1"/>
    <n v="5"/>
    <x v="2"/>
    <s v="No"/>
    <x v="1"/>
    <s v="No"/>
    <n v="0"/>
    <n v="0"/>
    <n v="5"/>
  </r>
  <r>
    <n v="3321"/>
    <s v="Daniela Moura"/>
    <x v="0"/>
    <d v="2024-05-26T00:00:00"/>
    <x v="0"/>
    <n v="15"/>
    <x v="0"/>
    <s v="Yes"/>
    <x v="0"/>
    <s v="Yes"/>
    <n v="20"/>
    <n v="5"/>
    <n v="60"/>
  </r>
  <r>
    <n v="3322"/>
    <s v="Eduardo Lima"/>
    <x v="2"/>
    <d v="2024-05-27T00:00:00"/>
    <x v="1"/>
    <n v="10"/>
    <x v="1"/>
    <s v="No"/>
    <x v="1"/>
    <s v="Yes"/>
    <n v="20"/>
    <n v="15"/>
    <n v="15"/>
  </r>
  <r>
    <n v="3323"/>
    <s v="Fabiana Araújo"/>
    <x v="1"/>
    <d v="2024-05-28T00:00:00"/>
    <x v="0"/>
    <n v="5"/>
    <x v="0"/>
    <s v="No"/>
    <x v="1"/>
    <s v="No"/>
    <n v="0"/>
    <n v="1"/>
    <n v="4"/>
  </r>
  <r>
    <n v="3324"/>
    <s v="Geraldo Ribeiro"/>
    <x v="0"/>
    <d v="2024-05-29T00:00:00"/>
    <x v="1"/>
    <n v="15"/>
    <x v="2"/>
    <s v="Yes"/>
    <x v="0"/>
    <s v="Yes"/>
    <n v="20"/>
    <n v="20"/>
    <n v="45"/>
  </r>
  <r>
    <n v="3325"/>
    <s v="Héctor Vargas"/>
    <x v="2"/>
    <d v="2024-05-30T00:00:00"/>
    <x v="0"/>
    <n v="10"/>
    <x v="2"/>
    <s v="No"/>
    <x v="1"/>
    <s v="Yes"/>
    <n v="20"/>
    <n v="15"/>
    <n v="15"/>
  </r>
  <r>
    <n v="3326"/>
    <s v="Isabela Fonseca"/>
    <x v="1"/>
    <d v="2024-05-31T00:00:00"/>
    <x v="1"/>
    <n v="5"/>
    <x v="1"/>
    <s v="No"/>
    <x v="1"/>
    <s v="No"/>
    <n v="0"/>
    <n v="0"/>
    <n v="5"/>
  </r>
  <r>
    <n v="3327"/>
    <s v="João Pedro Almeida"/>
    <x v="0"/>
    <d v="2024-06-01T00:00:00"/>
    <x v="0"/>
    <n v="15"/>
    <x v="0"/>
    <s v="Yes"/>
    <x v="0"/>
    <s v="Yes"/>
    <n v="20"/>
    <n v="7"/>
    <n v="58"/>
  </r>
  <r>
    <n v="3328"/>
    <s v="Klara Costa"/>
    <x v="2"/>
    <d v="2024-06-02T00:00:00"/>
    <x v="1"/>
    <n v="10"/>
    <x v="1"/>
    <s v="No"/>
    <x v="1"/>
    <s v="Yes"/>
    <n v="20"/>
    <n v="10"/>
    <n v="20"/>
  </r>
  <r>
    <n v="3329"/>
    <s v="Luciana Mendes"/>
    <x v="1"/>
    <d v="2024-06-03T00:00:00"/>
    <x v="0"/>
    <n v="5"/>
    <x v="2"/>
    <s v="No"/>
    <x v="1"/>
    <s v="No"/>
    <n v="0"/>
    <n v="1"/>
    <n v="4"/>
  </r>
  <r>
    <n v="3330"/>
    <s v="Marcelo Gouveia"/>
    <x v="0"/>
    <d v="2024-06-04T00:00:00"/>
    <x v="1"/>
    <n v="15"/>
    <x v="0"/>
    <s v="Yes"/>
    <x v="0"/>
    <s v="Yes"/>
    <n v="20"/>
    <n v="15"/>
    <n v="50"/>
  </r>
  <r>
    <n v="3331"/>
    <s v="Nívea Borges"/>
    <x v="2"/>
    <d v="2024-06-05T00:00:00"/>
    <x v="0"/>
    <n v="10"/>
    <x v="0"/>
    <s v="No"/>
    <x v="1"/>
    <s v="Yes"/>
    <n v="20"/>
    <n v="5"/>
    <n v="25"/>
  </r>
  <r>
    <n v="3332"/>
    <s v="Oscar Nogueira"/>
    <x v="1"/>
    <d v="2024-06-06T00:00:00"/>
    <x v="1"/>
    <n v="5"/>
    <x v="1"/>
    <s v="No"/>
    <x v="1"/>
    <s v="No"/>
    <n v="0"/>
    <n v="0"/>
    <n v="5"/>
  </r>
  <r>
    <n v="3333"/>
    <s v="Patrícia Alves"/>
    <x v="0"/>
    <d v="2024-06-07T00:00:00"/>
    <x v="0"/>
    <n v="15"/>
    <x v="2"/>
    <s v="Yes"/>
    <x v="0"/>
    <s v="Yes"/>
    <n v="20"/>
    <n v="20"/>
    <n v="45"/>
  </r>
  <r>
    <n v="3334"/>
    <s v="Rafaela Silva"/>
    <x v="2"/>
    <d v="2024-06-08T00:00:00"/>
    <x v="1"/>
    <n v="10"/>
    <x v="2"/>
    <s v="No"/>
    <x v="1"/>
    <s v="Yes"/>
    <n v="20"/>
    <n v="12"/>
    <n v="18"/>
  </r>
  <r>
    <n v="3335"/>
    <s v="Samantha Moraes"/>
    <x v="1"/>
    <d v="2024-06-09T00:00:00"/>
    <x v="0"/>
    <n v="5"/>
    <x v="0"/>
    <s v="No"/>
    <x v="1"/>
    <s v="No"/>
    <n v="0"/>
    <n v="2"/>
    <n v="3"/>
  </r>
  <r>
    <n v="3336"/>
    <s v="Tatiana Rocha"/>
    <x v="1"/>
    <d v="2024-06-10T00:00:00"/>
    <x v="0"/>
    <n v="5"/>
    <x v="0"/>
    <s v="No"/>
    <x v="1"/>
    <s v="No"/>
    <n v="0"/>
    <n v="0"/>
    <n v="5"/>
  </r>
  <r>
    <n v="3337"/>
    <s v="Ulisses Tavares"/>
    <x v="0"/>
    <d v="2024-06-11T00:00:00"/>
    <x v="1"/>
    <n v="15"/>
    <x v="2"/>
    <s v="Yes"/>
    <x v="0"/>
    <s v="Yes"/>
    <n v="20"/>
    <n v="7"/>
    <n v="58"/>
  </r>
  <r>
    <n v="3338"/>
    <s v="Víctor Lemos"/>
    <x v="2"/>
    <d v="2024-06-12T00:00:00"/>
    <x v="0"/>
    <n v="10"/>
    <x v="1"/>
    <s v="No"/>
    <x v="1"/>
    <s v="Yes"/>
    <n v="20"/>
    <n v="10"/>
    <n v="20"/>
  </r>
  <r>
    <n v="3339"/>
    <s v="Wilma Barros"/>
    <x v="1"/>
    <d v="2024-06-13T00:00:00"/>
    <x v="1"/>
    <n v="5"/>
    <x v="2"/>
    <s v="No"/>
    <x v="1"/>
    <s v="No"/>
    <n v="0"/>
    <n v="1"/>
    <n v="4"/>
  </r>
  <r>
    <n v="3340"/>
    <s v="Xavier Nascimento"/>
    <x v="0"/>
    <d v="2024-06-14T00:00:00"/>
    <x v="0"/>
    <n v="15"/>
    <x v="0"/>
    <s v="Yes"/>
    <x v="0"/>
    <s v="Yes"/>
    <n v="20"/>
    <n v="15"/>
    <n v="50"/>
  </r>
  <r>
    <n v="3341"/>
    <s v="Yago Pereira"/>
    <x v="2"/>
    <d v="2024-06-15T00:00:00"/>
    <x v="1"/>
    <n v="10"/>
    <x v="0"/>
    <s v="No"/>
    <x v="1"/>
    <s v="Yes"/>
    <n v="20"/>
    <n v="5"/>
    <n v="25"/>
  </r>
  <r>
    <n v="3342"/>
    <s v="Zilda Ferreira"/>
    <x v="1"/>
    <d v="2024-06-16T00:00:00"/>
    <x v="0"/>
    <n v="5"/>
    <x v="1"/>
    <s v="No"/>
    <x v="1"/>
    <s v="No"/>
    <n v="0"/>
    <n v="0"/>
    <n v="5"/>
  </r>
  <r>
    <n v="3343"/>
    <s v="Amanda Lopes"/>
    <x v="0"/>
    <d v="2024-06-17T00:00:00"/>
    <x v="1"/>
    <n v="15"/>
    <x v="2"/>
    <s v="Yes"/>
    <x v="0"/>
    <s v="Yes"/>
    <n v="20"/>
    <n v="20"/>
    <n v="45"/>
  </r>
  <r>
    <n v="3344"/>
    <s v="Bruno Miranda"/>
    <x v="2"/>
    <d v="2024-06-18T00:00:00"/>
    <x v="0"/>
    <n v="10"/>
    <x v="2"/>
    <s v="No"/>
    <x v="1"/>
    <s v="Yes"/>
    <n v="20"/>
    <n v="12"/>
    <n v="18"/>
  </r>
  <r>
    <n v="3345"/>
    <s v="Célia Torres"/>
    <x v="1"/>
    <d v="2024-06-19T00:00:00"/>
    <x v="1"/>
    <n v="5"/>
    <x v="0"/>
    <s v="No"/>
    <x v="1"/>
    <s v="No"/>
    <n v="0"/>
    <n v="2"/>
    <n v="3"/>
  </r>
  <r>
    <n v="3346"/>
    <s v="Diogo Souza"/>
    <x v="0"/>
    <d v="2024-06-20T00:00:00"/>
    <x v="0"/>
    <n v="15"/>
    <x v="1"/>
    <s v="Yes"/>
    <x v="0"/>
    <s v="Yes"/>
    <n v="20"/>
    <n v="5"/>
    <n v="60"/>
  </r>
  <r>
    <n v="3347"/>
    <s v="Elisa Castro"/>
    <x v="2"/>
    <d v="2024-06-21T00:00:00"/>
    <x v="1"/>
    <n v="10"/>
    <x v="0"/>
    <s v="No"/>
    <x v="1"/>
    <s v="Yes"/>
    <n v="20"/>
    <n v="10"/>
    <n v="20"/>
  </r>
  <r>
    <n v="3348"/>
    <s v="Fátima Lima"/>
    <x v="1"/>
    <d v="2024-06-22T00:00:00"/>
    <x v="0"/>
    <n v="5"/>
    <x v="2"/>
    <s v="No"/>
    <x v="1"/>
    <s v="No"/>
    <n v="0"/>
    <n v="0"/>
    <n v="5"/>
  </r>
  <r>
    <n v="3349"/>
    <s v="Geraldo Ribeiro"/>
    <x v="0"/>
    <d v="2024-06-23T00:00:00"/>
    <x v="1"/>
    <n v="15"/>
    <x v="0"/>
    <s v="Yes"/>
    <x v="0"/>
    <s v="Yes"/>
    <n v="20"/>
    <n v="3"/>
    <n v="62"/>
  </r>
  <r>
    <n v="3350"/>
    <s v="Hélio Martins"/>
    <x v="2"/>
    <d v="2024-06-24T00:00:00"/>
    <x v="0"/>
    <n v="10"/>
    <x v="1"/>
    <s v="No"/>
    <x v="1"/>
    <s v="Yes"/>
    <n v="20"/>
    <n v="15"/>
    <n v="15"/>
  </r>
  <r>
    <n v="3351"/>
    <s v="Íris Santos"/>
    <x v="1"/>
    <d v="2024-06-25T00:00:00"/>
    <x v="1"/>
    <n v="5"/>
    <x v="0"/>
    <s v="No"/>
    <x v="1"/>
    <s v="No"/>
    <n v="0"/>
    <n v="1"/>
    <n v="4"/>
  </r>
  <r>
    <n v="3352"/>
    <s v="João Marcelo"/>
    <x v="0"/>
    <d v="2024-06-26T00:00:00"/>
    <x v="0"/>
    <n v="15"/>
    <x v="2"/>
    <s v="Yes"/>
    <x v="0"/>
    <s v="Yes"/>
    <n v="20"/>
    <n v="7"/>
    <n v="58"/>
  </r>
  <r>
    <n v="3353"/>
    <s v="Larissa Gomes"/>
    <x v="2"/>
    <d v="2024-06-27T00:00:00"/>
    <x v="1"/>
    <n v="10"/>
    <x v="0"/>
    <s v="No"/>
    <x v="1"/>
    <s v="Yes"/>
    <n v="20"/>
    <n v="10"/>
    <n v="20"/>
  </r>
  <r>
    <n v="3354"/>
    <s v="Márcio Silva"/>
    <x v="1"/>
    <d v="2024-06-28T00:00:00"/>
    <x v="0"/>
    <n v="5"/>
    <x v="1"/>
    <s v="No"/>
    <x v="1"/>
    <s v="No"/>
    <n v="0"/>
    <n v="0"/>
    <n v="5"/>
  </r>
  <r>
    <n v="3355"/>
    <s v="Nadia Costa"/>
    <x v="0"/>
    <d v="2024-06-29T00:00:00"/>
    <x v="1"/>
    <n v="15"/>
    <x v="0"/>
    <s v="Yes"/>
    <x v="0"/>
    <s v="Yes"/>
    <n v="20"/>
    <n v="20"/>
    <n v="45"/>
  </r>
  <r>
    <n v="3356"/>
    <s v="Oscar Almeida"/>
    <x v="2"/>
    <d v="2024-06-30T00:00:00"/>
    <x v="0"/>
    <n v="10"/>
    <x v="2"/>
    <s v="No"/>
    <x v="1"/>
    <s v="Yes"/>
    <n v="20"/>
    <n v="15"/>
    <n v="15"/>
  </r>
  <r>
    <n v="3357"/>
    <s v="Patricia Soares"/>
    <x v="1"/>
    <d v="2024-07-01T00:00:00"/>
    <x v="1"/>
    <n v="5"/>
    <x v="0"/>
    <s v="No"/>
    <x v="1"/>
    <s v="No"/>
    <n v="0"/>
    <n v="1"/>
    <n v="4"/>
  </r>
  <r>
    <n v="3358"/>
    <s v="Quênia Barros"/>
    <x v="0"/>
    <d v="2024-07-02T00:00:00"/>
    <x v="0"/>
    <n v="15"/>
    <x v="1"/>
    <s v="Yes"/>
    <x v="0"/>
    <s v="Yes"/>
    <n v="20"/>
    <n v="3"/>
    <n v="62"/>
  </r>
  <r>
    <n v="3359"/>
    <s v="Rafael Torres"/>
    <x v="2"/>
    <d v="2024-07-03T00:00:00"/>
    <x v="1"/>
    <n v="10"/>
    <x v="0"/>
    <s v="No"/>
    <x v="1"/>
    <s v="Yes"/>
    <n v="20"/>
    <n v="10"/>
    <n v="20"/>
  </r>
  <r>
    <n v="3360"/>
    <s v="Silvia Nascimento"/>
    <x v="1"/>
    <d v="2024-07-04T00:00:00"/>
    <x v="0"/>
    <n v="5"/>
    <x v="2"/>
    <s v="No"/>
    <x v="1"/>
    <s v="No"/>
    <n v="0"/>
    <n v="0"/>
    <n v="5"/>
  </r>
  <r>
    <n v="3361"/>
    <s v="Tiago Mendes"/>
    <x v="0"/>
    <d v="2024-07-05T00:00:00"/>
    <x v="1"/>
    <n v="15"/>
    <x v="0"/>
    <s v="Yes"/>
    <x v="0"/>
    <s v="Yes"/>
    <n v="20"/>
    <n v="15"/>
    <n v="50"/>
  </r>
  <r>
    <n v="3362"/>
    <s v="Ursula Silva"/>
    <x v="2"/>
    <d v="2024-07-06T00:00:00"/>
    <x v="0"/>
    <n v="10"/>
    <x v="1"/>
    <s v="No"/>
    <x v="1"/>
    <s v="Yes"/>
    <n v="20"/>
    <n v="15"/>
    <n v="15"/>
  </r>
  <r>
    <n v="3363"/>
    <s v="Vanessa Moraes"/>
    <x v="1"/>
    <d v="2024-07-07T00:00:00"/>
    <x v="1"/>
    <n v="5"/>
    <x v="0"/>
    <s v="No"/>
    <x v="1"/>
    <s v="No"/>
    <n v="0"/>
    <n v="1"/>
    <n v="4"/>
  </r>
  <r>
    <n v="3364"/>
    <s v="Waldir Junior"/>
    <x v="0"/>
    <d v="2024-07-08T00:00:00"/>
    <x v="0"/>
    <n v="15"/>
    <x v="2"/>
    <s v="Yes"/>
    <x v="0"/>
    <s v="Yes"/>
    <n v="20"/>
    <n v="7"/>
    <n v="58"/>
  </r>
  <r>
    <n v="3365"/>
    <s v="Xavier Lopes"/>
    <x v="2"/>
    <d v="2024-07-09T00:00:00"/>
    <x v="1"/>
    <n v="10"/>
    <x v="0"/>
    <s v="No"/>
    <x v="1"/>
    <s v="Yes"/>
    <n v="20"/>
    <n v="10"/>
    <n v="20"/>
  </r>
  <r>
    <n v="3366"/>
    <s v="Yolanda Freitas"/>
    <x v="1"/>
    <d v="2024-07-10T00:00:00"/>
    <x v="0"/>
    <n v="5"/>
    <x v="0"/>
    <s v="No"/>
    <x v="1"/>
    <s v="No"/>
    <n v="0"/>
    <n v="0"/>
    <n v="5"/>
  </r>
  <r>
    <n v="3367"/>
    <s v="Zacarias Nunes"/>
    <x v="0"/>
    <d v="2024-07-11T00:00:00"/>
    <x v="1"/>
    <n v="15"/>
    <x v="2"/>
    <s v="Yes"/>
    <x v="0"/>
    <s v="Yes"/>
    <n v="20"/>
    <n v="7"/>
    <n v="58"/>
  </r>
  <r>
    <n v="3368"/>
    <s v="Ana Clara Barreto"/>
    <x v="2"/>
    <d v="2024-07-12T00:00:00"/>
    <x v="0"/>
    <n v="10"/>
    <x v="1"/>
    <s v="No"/>
    <x v="1"/>
    <s v="Yes"/>
    <n v="20"/>
    <n v="10"/>
    <n v="20"/>
  </r>
  <r>
    <n v="3369"/>
    <s v="Bruno Henrique"/>
    <x v="1"/>
    <d v="2024-07-13T00:00:00"/>
    <x v="1"/>
    <n v="5"/>
    <x v="2"/>
    <s v="No"/>
    <x v="1"/>
    <s v="No"/>
    <n v="0"/>
    <n v="1"/>
    <n v="4"/>
  </r>
  <r>
    <n v="3370"/>
    <s v="Carlos Eduardo"/>
    <x v="0"/>
    <d v="2024-07-14T00:00:00"/>
    <x v="0"/>
    <n v="15"/>
    <x v="0"/>
    <s v="Yes"/>
    <x v="0"/>
    <s v="Yes"/>
    <n v="20"/>
    <n v="15"/>
    <n v="50"/>
  </r>
  <r>
    <n v="3371"/>
    <s v="Débora Lima"/>
    <x v="2"/>
    <d v="2024-07-15T00:00:00"/>
    <x v="1"/>
    <n v="10"/>
    <x v="0"/>
    <s v="No"/>
    <x v="1"/>
    <s v="Yes"/>
    <n v="20"/>
    <n v="5"/>
    <n v="25"/>
  </r>
  <r>
    <n v="3372"/>
    <s v="Elisa Neves"/>
    <x v="1"/>
    <d v="2024-07-16T00:00:00"/>
    <x v="0"/>
    <n v="5"/>
    <x v="1"/>
    <s v="No"/>
    <x v="1"/>
    <s v="No"/>
    <n v="0"/>
    <n v="0"/>
    <n v="5"/>
  </r>
  <r>
    <n v="3373"/>
    <s v="Fabiano Gomes"/>
    <x v="0"/>
    <d v="2024-07-17T00:00:00"/>
    <x v="1"/>
    <n v="15"/>
    <x v="2"/>
    <s v="Yes"/>
    <x v="0"/>
    <s v="Yes"/>
    <n v="20"/>
    <n v="20"/>
    <n v="45"/>
  </r>
  <r>
    <n v="3374"/>
    <s v="Gisele Oliveira"/>
    <x v="2"/>
    <d v="2024-07-18T00:00:00"/>
    <x v="0"/>
    <n v="10"/>
    <x v="2"/>
    <s v="No"/>
    <x v="1"/>
    <s v="Yes"/>
    <n v="20"/>
    <n v="12"/>
    <n v="18"/>
  </r>
  <r>
    <n v="3375"/>
    <s v="Héctor Silva"/>
    <x v="1"/>
    <d v="2024-07-19T00:00:00"/>
    <x v="1"/>
    <n v="5"/>
    <x v="0"/>
    <s v="No"/>
    <x v="1"/>
    <s v="No"/>
    <n v="0"/>
    <n v="2"/>
    <n v="3"/>
  </r>
  <r>
    <n v="3376"/>
    <s v="Igor Martins"/>
    <x v="0"/>
    <d v="2024-07-20T00:00:00"/>
    <x v="0"/>
    <n v="15"/>
    <x v="1"/>
    <s v="Yes"/>
    <x v="0"/>
    <s v="Yes"/>
    <n v="20"/>
    <n v="5"/>
    <n v="60"/>
  </r>
  <r>
    <n v="3377"/>
    <s v="Joana Figueiredo"/>
    <x v="2"/>
    <d v="2024-07-21T00:00:00"/>
    <x v="1"/>
    <n v="10"/>
    <x v="0"/>
    <s v="No"/>
    <x v="1"/>
    <s v="Yes"/>
    <n v="20"/>
    <n v="10"/>
    <n v="20"/>
  </r>
  <r>
    <n v="3378"/>
    <s v="Kleber Machado"/>
    <x v="1"/>
    <d v="2024-07-22T00:00:00"/>
    <x v="0"/>
    <n v="5"/>
    <x v="2"/>
    <s v="No"/>
    <x v="1"/>
    <s v="No"/>
    <n v="0"/>
    <n v="0"/>
    <n v="5"/>
  </r>
  <r>
    <n v="3379"/>
    <s v="Luciana Santos"/>
    <x v="0"/>
    <d v="2024-07-23T00:00:00"/>
    <x v="1"/>
    <n v="15"/>
    <x v="0"/>
    <s v="Yes"/>
    <x v="0"/>
    <s v="Yes"/>
    <n v="20"/>
    <n v="3"/>
    <n v="62"/>
  </r>
  <r>
    <n v="3380"/>
    <s v="Marcos Teixeira"/>
    <x v="2"/>
    <d v="2024-07-24T00:00:00"/>
    <x v="0"/>
    <n v="10"/>
    <x v="1"/>
    <s v="No"/>
    <x v="1"/>
    <s v="Yes"/>
    <n v="20"/>
    <n v="15"/>
    <n v="15"/>
  </r>
  <r>
    <n v="3381"/>
    <s v="Natalia Costa"/>
    <x v="1"/>
    <d v="2024-07-25T00:00:00"/>
    <x v="1"/>
    <n v="5"/>
    <x v="0"/>
    <s v="No"/>
    <x v="1"/>
    <s v="No"/>
    <n v="0"/>
    <n v="1"/>
    <n v="4"/>
  </r>
  <r>
    <n v="3382"/>
    <s v="Oscar Ribeiro"/>
    <x v="0"/>
    <d v="2024-07-26T00:00:00"/>
    <x v="0"/>
    <n v="15"/>
    <x v="2"/>
    <s v="Yes"/>
    <x v="0"/>
    <s v="Yes"/>
    <n v="20"/>
    <n v="7"/>
    <n v="58"/>
  </r>
  <r>
    <n v="3383"/>
    <s v="Patricia Almeida"/>
    <x v="2"/>
    <d v="2024-07-27T00:00:00"/>
    <x v="1"/>
    <n v="10"/>
    <x v="0"/>
    <s v="No"/>
    <x v="1"/>
    <s v="Yes"/>
    <n v="20"/>
    <n v="10"/>
    <n v="20"/>
  </r>
  <r>
    <n v="3384"/>
    <s v="Quirino Junior"/>
    <x v="1"/>
    <d v="2024-07-28T00:00:00"/>
    <x v="0"/>
    <n v="5"/>
    <x v="1"/>
    <s v="No"/>
    <x v="1"/>
    <s v="No"/>
    <n v="0"/>
    <n v="0"/>
    <n v="5"/>
  </r>
  <r>
    <n v="3385"/>
    <s v="Renata Machado"/>
    <x v="0"/>
    <d v="2024-07-29T00:00:00"/>
    <x v="1"/>
    <n v="15"/>
    <x v="0"/>
    <s v="Yes"/>
    <x v="0"/>
    <s v="Yes"/>
    <n v="20"/>
    <n v="20"/>
    <n v="45"/>
  </r>
  <r>
    <n v="3386"/>
    <s v="Sônia Alves"/>
    <x v="2"/>
    <d v="2024-07-30T00:00:00"/>
    <x v="0"/>
    <n v="10"/>
    <x v="2"/>
    <s v="No"/>
    <x v="1"/>
    <s v="Yes"/>
    <n v="20"/>
    <n v="15"/>
    <n v="15"/>
  </r>
  <r>
    <n v="3387"/>
    <s v="Tiago Nunes"/>
    <x v="1"/>
    <d v="2024-07-31T00:00:00"/>
    <x v="1"/>
    <n v="5"/>
    <x v="0"/>
    <s v="No"/>
    <x v="1"/>
    <s v="No"/>
    <n v="0"/>
    <n v="1"/>
    <n v="4"/>
  </r>
  <r>
    <n v="3388"/>
    <s v="Ulysses Pereira"/>
    <x v="0"/>
    <d v="2024-08-01T00:00:00"/>
    <x v="0"/>
    <n v="15"/>
    <x v="1"/>
    <s v="Yes"/>
    <x v="0"/>
    <s v="Yes"/>
    <n v="20"/>
    <n v="3"/>
    <n v="62"/>
  </r>
  <r>
    <n v="3389"/>
    <s v="Vanessa Lima"/>
    <x v="2"/>
    <d v="2024-08-02T00:00:00"/>
    <x v="1"/>
    <n v="10"/>
    <x v="0"/>
    <s v="No"/>
    <x v="1"/>
    <s v="Yes"/>
    <n v="20"/>
    <n v="10"/>
    <n v="20"/>
  </r>
  <r>
    <n v="3390"/>
    <s v="Wagner Santos"/>
    <x v="1"/>
    <d v="2024-08-03T00:00:00"/>
    <x v="0"/>
    <n v="5"/>
    <x v="2"/>
    <s v="No"/>
    <x v="1"/>
    <s v="No"/>
    <n v="0"/>
    <n v="0"/>
    <n v="5"/>
  </r>
  <r>
    <n v="3391"/>
    <s v="Xuxa Meneghel"/>
    <x v="0"/>
    <d v="2024-08-04T00:00:00"/>
    <x v="1"/>
    <n v="15"/>
    <x v="0"/>
    <s v="Yes"/>
    <x v="0"/>
    <s v="Yes"/>
    <n v="20"/>
    <n v="15"/>
    <n v="50"/>
  </r>
  <r>
    <n v="3392"/>
    <s v="Yasmin Silva"/>
    <x v="2"/>
    <d v="2024-08-05T00:00:00"/>
    <x v="0"/>
    <n v="10"/>
    <x v="1"/>
    <s v="No"/>
    <x v="1"/>
    <s v="Yes"/>
    <n v="20"/>
    <n v="15"/>
    <n v="15"/>
  </r>
  <r>
    <n v="3393"/>
    <s v="Zacarias de Souza"/>
    <x v="1"/>
    <d v="2024-08-06T00:00:00"/>
    <x v="1"/>
    <n v="5"/>
    <x v="0"/>
    <s v="No"/>
    <x v="1"/>
    <s v="No"/>
    <n v="0"/>
    <n v="1"/>
    <n v="4"/>
  </r>
  <r>
    <n v="3394"/>
    <s v="André Lima"/>
    <x v="0"/>
    <d v="2024-08-07T00:00:00"/>
    <x v="0"/>
    <n v="15"/>
    <x v="2"/>
    <s v="Yes"/>
    <x v="0"/>
    <s v="Yes"/>
    <n v="20"/>
    <n v="7"/>
    <n v="58"/>
  </r>
  <r>
    <n v="3395"/>
    <s v="Bianca Freitas"/>
    <x v="2"/>
    <d v="2024-08-08T00:00:00"/>
    <x v="1"/>
    <n v="10"/>
    <x v="0"/>
    <s v="No"/>
    <x v="1"/>
    <s v="Yes"/>
    <n v="20"/>
    <n v="10"/>
    <n v="20"/>
  </r>
  <r>
    <n v="3396"/>
    <s v="Caio Mendes"/>
    <x v="1"/>
    <d v="2024-08-09T00:00:00"/>
    <x v="0"/>
    <n v="5"/>
    <x v="1"/>
    <s v="No"/>
    <x v="1"/>
    <s v="No"/>
    <n v="0"/>
    <n v="0"/>
    <n v="5"/>
  </r>
  <r>
    <n v="3397"/>
    <s v="Daniela Moura"/>
    <x v="0"/>
    <d v="2024-08-10T00:00:00"/>
    <x v="1"/>
    <n v="15"/>
    <x v="0"/>
    <s v="Yes"/>
    <x v="0"/>
    <s v="Yes"/>
    <n v="20"/>
    <n v="20"/>
    <n v="45"/>
  </r>
  <r>
    <n v="3398"/>
    <s v="Eduardo Costa"/>
    <x v="2"/>
    <d v="2024-08-11T00:00:00"/>
    <x v="0"/>
    <n v="10"/>
    <x v="2"/>
    <s v="No"/>
    <x v="1"/>
    <s v="Yes"/>
    <n v="20"/>
    <n v="15"/>
    <n v="15"/>
  </r>
  <r>
    <n v="3399"/>
    <s v="Fernanda Gomes"/>
    <x v="1"/>
    <d v="2024-08-12T00:00:00"/>
    <x v="1"/>
    <n v="5"/>
    <x v="0"/>
    <s v="No"/>
    <x v="1"/>
    <s v="No"/>
    <n v="0"/>
    <n v="1"/>
    <n v="4"/>
  </r>
  <r>
    <n v="3400"/>
    <s v="Guilherme Souza"/>
    <x v="0"/>
    <d v="2024-08-13T00:00:00"/>
    <x v="0"/>
    <n v="15"/>
    <x v="1"/>
    <s v="Yes"/>
    <x v="0"/>
    <s v="Yes"/>
    <n v="20"/>
    <n v="5"/>
    <n v="60"/>
  </r>
  <r>
    <n v="3401"/>
    <s v="Helena Ribeiro"/>
    <x v="2"/>
    <d v="2024-08-14T00:00:00"/>
    <x v="1"/>
    <n v="10"/>
    <x v="0"/>
    <s v="No"/>
    <x v="1"/>
    <s v="Yes"/>
    <n v="20"/>
    <n v="10"/>
    <n v="20"/>
  </r>
  <r>
    <n v="3402"/>
    <s v="Igor Santos"/>
    <x v="1"/>
    <d v="2024-08-15T00:00:00"/>
    <x v="0"/>
    <n v="5"/>
    <x v="2"/>
    <s v="No"/>
    <x v="1"/>
    <s v="No"/>
    <n v="0"/>
    <n v="0"/>
    <n v="5"/>
  </r>
  <r>
    <n v="3403"/>
    <s v="João Carvalho"/>
    <x v="0"/>
    <d v="2024-08-16T00:00:00"/>
    <x v="1"/>
    <n v="15"/>
    <x v="0"/>
    <s v="Yes"/>
    <x v="0"/>
    <s v="Yes"/>
    <n v="20"/>
    <n v="3"/>
    <n v="62"/>
  </r>
  <r>
    <n v="3404"/>
    <s v="Klara Fagundes"/>
    <x v="2"/>
    <d v="2024-08-17T00:00:00"/>
    <x v="0"/>
    <n v="10"/>
    <x v="1"/>
    <s v="No"/>
    <x v="1"/>
    <s v="Yes"/>
    <n v="20"/>
    <n v="15"/>
    <n v="15"/>
  </r>
  <r>
    <n v="3405"/>
    <s v="Lúcia Mendonça"/>
    <x v="1"/>
    <d v="2024-08-18T00:00:00"/>
    <x v="1"/>
    <n v="5"/>
    <x v="0"/>
    <s v="No"/>
    <x v="1"/>
    <s v="No"/>
    <n v="0"/>
    <n v="1"/>
    <n v="4"/>
  </r>
  <r>
    <n v="3406"/>
    <s v="Marcelo Novaes"/>
    <x v="1"/>
    <d v="2024-08-19T00:00:00"/>
    <x v="0"/>
    <n v="5"/>
    <x v="0"/>
    <s v="No"/>
    <x v="1"/>
    <s v="No"/>
    <n v="0"/>
    <n v="0"/>
    <n v="5"/>
  </r>
  <r>
    <n v="3407"/>
    <s v="Nina Pacheco"/>
    <x v="0"/>
    <d v="2024-08-20T00:00:00"/>
    <x v="1"/>
    <n v="15"/>
    <x v="2"/>
    <s v="Yes"/>
    <x v="0"/>
    <s v="Yes"/>
    <n v="20"/>
    <n v="7"/>
    <n v="58"/>
  </r>
  <r>
    <n v="3408"/>
    <s v="Olívia Rios"/>
    <x v="2"/>
    <d v="2024-08-21T00:00:00"/>
    <x v="0"/>
    <n v="10"/>
    <x v="1"/>
    <s v="No"/>
    <x v="1"/>
    <s v="Yes"/>
    <n v="20"/>
    <n v="10"/>
    <n v="20"/>
  </r>
  <r>
    <n v="3409"/>
    <s v="Paulo Quintana"/>
    <x v="1"/>
    <d v="2024-08-22T00:00:00"/>
    <x v="1"/>
    <n v="5"/>
    <x v="2"/>
    <s v="No"/>
    <x v="1"/>
    <s v="No"/>
    <n v="0"/>
    <n v="1"/>
    <n v="4"/>
  </r>
  <r>
    <n v="3410"/>
    <s v="Raquel Domingos"/>
    <x v="0"/>
    <d v="2024-08-23T00:00:00"/>
    <x v="0"/>
    <n v="15"/>
    <x v="0"/>
    <s v="Yes"/>
    <x v="0"/>
    <s v="Yes"/>
    <n v="20"/>
    <n v="15"/>
    <n v="50"/>
  </r>
  <r>
    <n v="3411"/>
    <s v="Samuel Viana"/>
    <x v="2"/>
    <d v="2024-08-24T00:00:00"/>
    <x v="1"/>
    <n v="10"/>
    <x v="0"/>
    <s v="No"/>
    <x v="1"/>
    <s v="Yes"/>
    <n v="20"/>
    <n v="5"/>
    <n v="25"/>
  </r>
  <r>
    <n v="3412"/>
    <s v="Tatiane Rocha"/>
    <x v="1"/>
    <d v="2024-08-25T00:00:00"/>
    <x v="0"/>
    <n v="5"/>
    <x v="1"/>
    <s v="No"/>
    <x v="1"/>
    <s v="No"/>
    <n v="0"/>
    <n v="0"/>
    <n v="5"/>
  </r>
  <r>
    <n v="3413"/>
    <s v="Ulysses Farias"/>
    <x v="0"/>
    <d v="2024-08-26T00:00:00"/>
    <x v="1"/>
    <n v="15"/>
    <x v="2"/>
    <s v="Yes"/>
    <x v="0"/>
    <s v="Yes"/>
    <n v="20"/>
    <n v="20"/>
    <n v="45"/>
  </r>
  <r>
    <n v="3414"/>
    <s v="Vanessa Moreira"/>
    <x v="2"/>
    <d v="2024-08-27T00:00:00"/>
    <x v="0"/>
    <n v="10"/>
    <x v="2"/>
    <s v="No"/>
    <x v="1"/>
    <s v="Yes"/>
    <n v="20"/>
    <n v="12"/>
    <n v="18"/>
  </r>
  <r>
    <n v="3415"/>
    <s v="William Carvalho"/>
    <x v="1"/>
    <d v="2024-08-28T00:00:00"/>
    <x v="1"/>
    <n v="5"/>
    <x v="0"/>
    <s v="No"/>
    <x v="1"/>
    <s v="No"/>
    <n v="0"/>
    <n v="2"/>
    <n v="3"/>
  </r>
  <r>
    <n v="3416"/>
    <s v="Ximena Barros"/>
    <x v="0"/>
    <d v="2024-08-29T00:00:00"/>
    <x v="0"/>
    <n v="15"/>
    <x v="1"/>
    <s v="Yes"/>
    <x v="0"/>
    <s v="Yes"/>
    <n v="20"/>
    <n v="5"/>
    <n v="60"/>
  </r>
  <r>
    <n v="3417"/>
    <s v="Yara Machado"/>
    <x v="2"/>
    <d v="2024-08-30T00:00:00"/>
    <x v="1"/>
    <n v="10"/>
    <x v="0"/>
    <s v="No"/>
    <x v="1"/>
    <s v="Yes"/>
    <n v="20"/>
    <n v="10"/>
    <n v="20"/>
  </r>
  <r>
    <n v="3418"/>
    <s v="Zacarias Costa"/>
    <x v="1"/>
    <d v="2024-08-31T00:00:00"/>
    <x v="0"/>
    <n v="5"/>
    <x v="2"/>
    <s v="No"/>
    <x v="1"/>
    <s v="No"/>
    <n v="0"/>
    <n v="0"/>
    <n v="5"/>
  </r>
  <r>
    <n v="3419"/>
    <s v="André Lopes"/>
    <x v="0"/>
    <d v="2024-09-01T00:00:00"/>
    <x v="1"/>
    <n v="15"/>
    <x v="0"/>
    <s v="Yes"/>
    <x v="0"/>
    <s v="Yes"/>
    <n v="20"/>
    <n v="3"/>
    <n v="62"/>
  </r>
  <r>
    <n v="3420"/>
    <s v="Beatriz Souza"/>
    <x v="2"/>
    <d v="2024-09-02T00:00:00"/>
    <x v="0"/>
    <n v="10"/>
    <x v="1"/>
    <s v="No"/>
    <x v="1"/>
    <s v="Yes"/>
    <n v="20"/>
    <n v="15"/>
    <n v="15"/>
  </r>
  <r>
    <n v="3421"/>
    <s v="Caio Pereira"/>
    <x v="1"/>
    <d v="2024-09-03T00:00:00"/>
    <x v="1"/>
    <n v="5"/>
    <x v="0"/>
    <s v="No"/>
    <x v="1"/>
    <s v="No"/>
    <n v="0"/>
    <n v="1"/>
    <n v="4"/>
  </r>
  <r>
    <n v="3422"/>
    <s v="Daniela Araújo"/>
    <x v="0"/>
    <d v="2024-09-04T00:00:00"/>
    <x v="0"/>
    <n v="15"/>
    <x v="2"/>
    <s v="Yes"/>
    <x v="0"/>
    <s v="Yes"/>
    <n v="20"/>
    <n v="7"/>
    <n v="58"/>
  </r>
  <r>
    <n v="3423"/>
    <s v="Eduardo Santos"/>
    <x v="2"/>
    <d v="2024-09-05T00:00:00"/>
    <x v="1"/>
    <n v="10"/>
    <x v="0"/>
    <s v="No"/>
    <x v="1"/>
    <s v="Yes"/>
    <n v="20"/>
    <n v="10"/>
    <n v="20"/>
  </r>
  <r>
    <n v="3424"/>
    <s v="Fernanda Lima"/>
    <x v="1"/>
    <d v="2024-09-06T00:00:00"/>
    <x v="0"/>
    <n v="5"/>
    <x v="1"/>
    <s v="No"/>
    <x v="1"/>
    <s v="No"/>
    <n v="0"/>
    <n v="0"/>
    <n v="5"/>
  </r>
  <r>
    <n v="3425"/>
    <s v="Gabriel Teixeira"/>
    <x v="0"/>
    <d v="2024-09-07T00:00:00"/>
    <x v="1"/>
    <n v="15"/>
    <x v="0"/>
    <s v="Yes"/>
    <x v="0"/>
    <s v="Yes"/>
    <n v="20"/>
    <n v="20"/>
    <n v="45"/>
  </r>
  <r>
    <n v="3426"/>
    <s v="Helena Ribeiro"/>
    <x v="2"/>
    <d v="2024-09-08T00:00:00"/>
    <x v="0"/>
    <n v="10"/>
    <x v="2"/>
    <s v="No"/>
    <x v="1"/>
    <s v="Yes"/>
    <n v="20"/>
    <n v="15"/>
    <n v="15"/>
  </r>
  <r>
    <n v="3427"/>
    <s v="Igor Mendes"/>
    <x v="1"/>
    <d v="2024-09-09T00:00:00"/>
    <x v="1"/>
    <n v="5"/>
    <x v="0"/>
    <s v="No"/>
    <x v="1"/>
    <s v="No"/>
    <n v="0"/>
    <n v="1"/>
    <n v="4"/>
  </r>
  <r>
    <n v="3428"/>
    <s v="Joana Silveira"/>
    <x v="0"/>
    <d v="2024-09-10T00:00:00"/>
    <x v="0"/>
    <n v="15"/>
    <x v="1"/>
    <s v="Yes"/>
    <x v="0"/>
    <s v="Yes"/>
    <n v="20"/>
    <n v="3"/>
    <n v="62"/>
  </r>
  <r>
    <n v="3429"/>
    <s v="Lucas Martins"/>
    <x v="2"/>
    <d v="2024-09-11T00:00:00"/>
    <x v="1"/>
    <n v="10"/>
    <x v="0"/>
    <s v="No"/>
    <x v="1"/>
    <s v="Yes"/>
    <n v="20"/>
    <n v="10"/>
    <n v="20"/>
  </r>
  <r>
    <n v="3430"/>
    <s v="Marcela Gouveia"/>
    <x v="1"/>
    <d v="2024-09-12T00:00:00"/>
    <x v="0"/>
    <n v="5"/>
    <x v="2"/>
    <s v="No"/>
    <x v="1"/>
    <s v="No"/>
    <n v="0"/>
    <n v="0"/>
    <n v="5"/>
  </r>
  <r>
    <n v="3431"/>
    <s v="Nicolas Borges"/>
    <x v="0"/>
    <d v="2024-09-13T00:00:00"/>
    <x v="1"/>
    <n v="15"/>
    <x v="0"/>
    <s v="Yes"/>
    <x v="0"/>
    <s v="Yes"/>
    <n v="20"/>
    <n v="15"/>
    <n v="50"/>
  </r>
  <r>
    <n v="3432"/>
    <s v="Olivia Freitas"/>
    <x v="2"/>
    <d v="2024-09-14T00:00:00"/>
    <x v="0"/>
    <n v="10"/>
    <x v="1"/>
    <s v="No"/>
    <x v="1"/>
    <s v="Yes"/>
    <n v="20"/>
    <n v="15"/>
    <n v="15"/>
  </r>
  <r>
    <n v="3433"/>
    <s v="Paulo Nogueira"/>
    <x v="1"/>
    <d v="2024-09-15T00:00:00"/>
    <x v="1"/>
    <n v="5"/>
    <x v="0"/>
    <s v="No"/>
    <x v="1"/>
    <s v="No"/>
    <n v="0"/>
    <n v="1"/>
    <n v="4"/>
  </r>
  <r>
    <n v="3434"/>
    <s v="Raquel Andrade"/>
    <x v="0"/>
    <d v="2024-09-16T00:00:00"/>
    <x v="0"/>
    <n v="15"/>
    <x v="2"/>
    <s v="Yes"/>
    <x v="0"/>
    <s v="Yes"/>
    <n v="20"/>
    <n v="7"/>
    <n v="58"/>
  </r>
  <r>
    <n v="3435"/>
    <s v="Sônia Carvalho"/>
    <x v="2"/>
    <d v="2024-09-17T00:00:00"/>
    <x v="1"/>
    <n v="10"/>
    <x v="0"/>
    <s v="No"/>
    <x v="1"/>
    <s v="Yes"/>
    <n v="20"/>
    <n v="10"/>
    <n v="20"/>
  </r>
  <r>
    <n v="3436"/>
    <s v="Tiago Rodrigues"/>
    <x v="1"/>
    <d v="2024-09-18T00:00:00"/>
    <x v="0"/>
    <n v="5"/>
    <x v="0"/>
    <s v="No"/>
    <x v="1"/>
    <s v="No"/>
    <n v="0"/>
    <n v="0"/>
    <n v="5"/>
  </r>
  <r>
    <n v="3437"/>
    <s v="Ursula Monteiro"/>
    <x v="0"/>
    <d v="2024-09-19T00:00:00"/>
    <x v="1"/>
    <n v="15"/>
    <x v="2"/>
    <s v="Yes"/>
    <x v="0"/>
    <s v="Yes"/>
    <n v="20"/>
    <n v="7"/>
    <n v="58"/>
  </r>
  <r>
    <n v="3438"/>
    <s v="Vanessa Pereira"/>
    <x v="2"/>
    <d v="2024-09-20T00:00:00"/>
    <x v="0"/>
    <n v="10"/>
    <x v="1"/>
    <s v="No"/>
    <x v="1"/>
    <s v="Yes"/>
    <n v="20"/>
    <n v="10"/>
    <n v="20"/>
  </r>
  <r>
    <n v="3439"/>
    <s v="Walter Silva"/>
    <x v="1"/>
    <d v="2024-09-21T00:00:00"/>
    <x v="1"/>
    <n v="5"/>
    <x v="2"/>
    <s v="No"/>
    <x v="1"/>
    <s v="No"/>
    <n v="0"/>
    <n v="1"/>
    <n v="4"/>
  </r>
  <r>
    <n v="3440"/>
    <s v="Xavier Almeida"/>
    <x v="0"/>
    <d v="2024-09-22T00:00:00"/>
    <x v="0"/>
    <n v="15"/>
    <x v="0"/>
    <s v="Yes"/>
    <x v="0"/>
    <s v="Yes"/>
    <n v="20"/>
    <n v="15"/>
    <n v="50"/>
  </r>
  <r>
    <n v="3441"/>
    <s v="Yasmine Correia"/>
    <x v="2"/>
    <d v="2024-09-23T00:00:00"/>
    <x v="1"/>
    <n v="10"/>
    <x v="0"/>
    <s v="No"/>
    <x v="1"/>
    <s v="Yes"/>
    <n v="20"/>
    <n v="5"/>
    <n v="25"/>
  </r>
  <r>
    <n v="3442"/>
    <s v="Zacarias Almeida"/>
    <x v="1"/>
    <d v="2024-09-24T00:00:00"/>
    <x v="0"/>
    <n v="5"/>
    <x v="1"/>
    <s v="No"/>
    <x v="1"/>
    <s v="No"/>
    <n v="0"/>
    <n v="0"/>
    <n v="5"/>
  </r>
  <r>
    <n v="3443"/>
    <s v="Amanda Costa"/>
    <x v="0"/>
    <d v="2024-09-25T00:00:00"/>
    <x v="1"/>
    <n v="15"/>
    <x v="2"/>
    <s v="Yes"/>
    <x v="0"/>
    <s v="Yes"/>
    <n v="20"/>
    <n v="20"/>
    <n v="45"/>
  </r>
  <r>
    <n v="3444"/>
    <s v="Bruno Ferreira"/>
    <x v="2"/>
    <d v="2024-09-26T00:00:00"/>
    <x v="0"/>
    <n v="10"/>
    <x v="2"/>
    <s v="No"/>
    <x v="1"/>
    <s v="Yes"/>
    <n v="20"/>
    <n v="12"/>
    <n v="18"/>
  </r>
  <r>
    <n v="3445"/>
    <s v="Carla Dias"/>
    <x v="1"/>
    <d v="2024-09-27T00:00:00"/>
    <x v="1"/>
    <n v="5"/>
    <x v="0"/>
    <s v="No"/>
    <x v="1"/>
    <s v="No"/>
    <n v="0"/>
    <n v="2"/>
    <n v="3"/>
  </r>
  <r>
    <n v="3446"/>
    <s v="Diogo Martins"/>
    <x v="0"/>
    <d v="2024-09-28T00:00:00"/>
    <x v="0"/>
    <n v="15"/>
    <x v="1"/>
    <s v="Yes"/>
    <x v="0"/>
    <s v="Yes"/>
    <n v="20"/>
    <n v="5"/>
    <n v="60"/>
  </r>
  <r>
    <n v="3447"/>
    <s v="Elisa Campos"/>
    <x v="2"/>
    <d v="2024-09-29T00:00:00"/>
    <x v="1"/>
    <n v="10"/>
    <x v="0"/>
    <s v="No"/>
    <x v="1"/>
    <s v="Yes"/>
    <n v="20"/>
    <n v="10"/>
    <n v="20"/>
  </r>
  <r>
    <n v="3448"/>
    <s v="Fabiana Lima"/>
    <x v="1"/>
    <d v="2024-09-30T00:00:00"/>
    <x v="0"/>
    <n v="5"/>
    <x v="2"/>
    <s v="No"/>
    <x v="1"/>
    <s v="No"/>
    <n v="0"/>
    <n v="0"/>
    <n v="5"/>
  </r>
  <r>
    <n v="3449"/>
    <s v="Gabriel Santos"/>
    <x v="0"/>
    <d v="2024-10-01T00:00:00"/>
    <x v="1"/>
    <n v="15"/>
    <x v="0"/>
    <s v="Yes"/>
    <x v="0"/>
    <s v="Yes"/>
    <n v="20"/>
    <n v="3"/>
    <n v="62"/>
  </r>
  <r>
    <n v="3450"/>
    <s v="Helena Ferreira"/>
    <x v="2"/>
    <d v="2024-10-02T00:00:00"/>
    <x v="0"/>
    <n v="10"/>
    <x v="1"/>
    <s v="No"/>
    <x v="1"/>
    <s v="Yes"/>
    <n v="20"/>
    <n v="15"/>
    <n v="15"/>
  </r>
  <r>
    <n v="3451"/>
    <s v="Ígor Nunes"/>
    <x v="1"/>
    <d v="2024-10-03T00:00:00"/>
    <x v="1"/>
    <n v="5"/>
    <x v="0"/>
    <s v="No"/>
    <x v="1"/>
    <s v="No"/>
    <n v="0"/>
    <n v="1"/>
    <n v="4"/>
  </r>
  <r>
    <n v="3452"/>
    <s v="Joana Silveira"/>
    <x v="0"/>
    <d v="2024-10-04T00:00:00"/>
    <x v="0"/>
    <n v="15"/>
    <x v="2"/>
    <s v="Yes"/>
    <x v="0"/>
    <s v="Yes"/>
    <n v="20"/>
    <n v="7"/>
    <n v="58"/>
  </r>
  <r>
    <n v="3453"/>
    <s v="Kléber Oliveira"/>
    <x v="2"/>
    <d v="2024-10-05T00:00:00"/>
    <x v="1"/>
    <n v="10"/>
    <x v="0"/>
    <s v="No"/>
    <x v="1"/>
    <s v="Yes"/>
    <n v="20"/>
    <n v="10"/>
    <n v="20"/>
  </r>
  <r>
    <n v="3454"/>
    <s v="Luciana Morais"/>
    <x v="1"/>
    <d v="2024-10-06T00:00:00"/>
    <x v="0"/>
    <n v="5"/>
    <x v="1"/>
    <s v="No"/>
    <x v="1"/>
    <s v="No"/>
    <n v="0"/>
    <n v="0"/>
    <n v="5"/>
  </r>
  <r>
    <n v="3455"/>
    <s v="Marcos Vinícius"/>
    <x v="0"/>
    <d v="2024-10-07T00:00:00"/>
    <x v="1"/>
    <n v="15"/>
    <x v="0"/>
    <s v="Yes"/>
    <x v="0"/>
    <s v="Yes"/>
    <n v="20"/>
    <n v="20"/>
    <n v="45"/>
  </r>
  <r>
    <n v="3456"/>
    <s v="Natália Barros"/>
    <x v="2"/>
    <d v="2024-10-08T00:00:00"/>
    <x v="0"/>
    <n v="10"/>
    <x v="2"/>
    <s v="No"/>
    <x v="1"/>
    <s v="Yes"/>
    <n v="20"/>
    <n v="15"/>
    <n v="15"/>
  </r>
  <r>
    <n v="3457"/>
    <s v="Oscar Sampaio"/>
    <x v="1"/>
    <d v="2024-10-09T00:00:00"/>
    <x v="1"/>
    <n v="5"/>
    <x v="0"/>
    <s v="No"/>
    <x v="1"/>
    <s v="No"/>
    <n v="0"/>
    <n v="1"/>
    <n v="4"/>
  </r>
  <r>
    <n v="3458"/>
    <s v="Patrícia Leite"/>
    <x v="0"/>
    <d v="2024-10-10T00:00:00"/>
    <x v="0"/>
    <n v="15"/>
    <x v="1"/>
    <s v="Yes"/>
    <x v="0"/>
    <s v="Yes"/>
    <n v="20"/>
    <n v="3"/>
    <n v="62"/>
  </r>
  <r>
    <n v="3459"/>
    <s v="Quênia Rocha"/>
    <x v="2"/>
    <d v="2024-10-11T00:00:00"/>
    <x v="1"/>
    <n v="10"/>
    <x v="0"/>
    <s v="No"/>
    <x v="1"/>
    <s v="Yes"/>
    <n v="20"/>
    <n v="10"/>
    <n v="20"/>
  </r>
  <r>
    <n v="3460"/>
    <s v="Rafael Torres"/>
    <x v="1"/>
    <d v="2024-10-12T00:00:00"/>
    <x v="0"/>
    <n v="5"/>
    <x v="2"/>
    <s v="No"/>
    <x v="1"/>
    <s v="No"/>
    <n v="0"/>
    <n v="0"/>
    <n v="5"/>
  </r>
  <r>
    <n v="3461"/>
    <s v="Sandra Gouveia"/>
    <x v="0"/>
    <d v="2024-10-13T00:00:00"/>
    <x v="1"/>
    <n v="15"/>
    <x v="0"/>
    <s v="Yes"/>
    <x v="0"/>
    <s v="Yes"/>
    <n v="20"/>
    <n v="15"/>
    <n v="50"/>
  </r>
  <r>
    <n v="3462"/>
    <s v="Tiago Lacerda"/>
    <x v="2"/>
    <d v="2024-10-14T00:00:00"/>
    <x v="0"/>
    <n v="10"/>
    <x v="1"/>
    <s v="No"/>
    <x v="1"/>
    <s v="Yes"/>
    <n v="20"/>
    <n v="15"/>
    <n v="15"/>
  </r>
  <r>
    <n v="3463"/>
    <s v="Ursula Fonseca"/>
    <x v="1"/>
    <d v="2024-10-15T00:00:00"/>
    <x v="1"/>
    <n v="5"/>
    <x v="0"/>
    <s v="No"/>
    <x v="1"/>
    <s v="No"/>
    <n v="0"/>
    <n v="1"/>
    <n v="4"/>
  </r>
  <r>
    <n v="3464"/>
    <s v="Vanessa Andrade"/>
    <x v="0"/>
    <d v="2024-10-16T00:00:00"/>
    <x v="0"/>
    <n v="15"/>
    <x v="2"/>
    <s v="Yes"/>
    <x v="0"/>
    <s v="Yes"/>
    <n v="20"/>
    <n v="7"/>
    <n v="58"/>
  </r>
  <r>
    <n v="3465"/>
    <s v="William Castro"/>
    <x v="2"/>
    <d v="2024-10-17T00:00:00"/>
    <x v="1"/>
    <n v="10"/>
    <x v="0"/>
    <s v="No"/>
    <x v="1"/>
    <s v="Yes"/>
    <n v="20"/>
    <n v="10"/>
    <n v="20"/>
  </r>
  <r>
    <n v="3466"/>
    <s v="Xavier Monteiro"/>
    <x v="1"/>
    <d v="2024-10-18T00:00:00"/>
    <x v="0"/>
    <n v="5"/>
    <x v="1"/>
    <s v="No"/>
    <x v="1"/>
    <s v="No"/>
    <n v="0"/>
    <n v="0"/>
    <n v="5"/>
  </r>
  <r>
    <n v="3467"/>
    <s v="Yasmin Figueira"/>
    <x v="0"/>
    <d v="2024-10-19T00:00:00"/>
    <x v="1"/>
    <n v="15"/>
    <x v="0"/>
    <s v="Yes"/>
    <x v="0"/>
    <s v="Yes"/>
    <n v="20"/>
    <n v="15"/>
    <n v="50"/>
  </r>
  <r>
    <n v="3468"/>
    <s v="Zacarias Mendonça"/>
    <x v="2"/>
    <d v="2024-10-20T00:00:00"/>
    <x v="0"/>
    <n v="10"/>
    <x v="2"/>
    <s v="No"/>
    <x v="1"/>
    <s v="Yes"/>
    <n v="20"/>
    <n v="12"/>
    <n v="18"/>
  </r>
  <r>
    <n v="3469"/>
    <s v="Amanda Menezes"/>
    <x v="1"/>
    <d v="2024-10-21T00:00:00"/>
    <x v="1"/>
    <n v="5"/>
    <x v="0"/>
    <s v="No"/>
    <x v="1"/>
    <s v="No"/>
    <n v="0"/>
    <n v="2"/>
    <n v="3"/>
  </r>
  <r>
    <n v="3470"/>
    <s v="Bruno Santos"/>
    <x v="0"/>
    <d v="2024-10-22T00:00:00"/>
    <x v="0"/>
    <n v="15"/>
    <x v="1"/>
    <s v="Yes"/>
    <x v="0"/>
    <s v="Yes"/>
    <n v="20"/>
    <n v="5"/>
    <n v="60"/>
  </r>
  <r>
    <n v="3471"/>
    <s v="Carla Ferreira"/>
    <x v="2"/>
    <d v="2024-10-23T00:00:00"/>
    <x v="1"/>
    <n v="10"/>
    <x v="0"/>
    <s v="No"/>
    <x v="1"/>
    <s v="Yes"/>
    <n v="20"/>
    <n v="10"/>
    <n v="20"/>
  </r>
  <r>
    <n v="3472"/>
    <s v="Diogo Alves"/>
    <x v="1"/>
    <d v="2024-10-24T00:00:00"/>
    <x v="0"/>
    <n v="5"/>
    <x v="2"/>
    <s v="No"/>
    <x v="1"/>
    <s v="No"/>
    <n v="0"/>
    <n v="0"/>
    <n v="5"/>
  </r>
  <r>
    <n v="3473"/>
    <s v="Elisa Neves"/>
    <x v="0"/>
    <d v="2024-10-25T00:00:00"/>
    <x v="1"/>
    <n v="15"/>
    <x v="0"/>
    <s v="Yes"/>
    <x v="0"/>
    <s v="Yes"/>
    <n v="20"/>
    <n v="3"/>
    <n v="62"/>
  </r>
  <r>
    <n v="3474"/>
    <s v="Fabiano Pires"/>
    <x v="2"/>
    <d v="2024-10-26T00:00:00"/>
    <x v="0"/>
    <n v="10"/>
    <x v="1"/>
    <s v="No"/>
    <x v="1"/>
    <s v="Yes"/>
    <n v="20"/>
    <n v="15"/>
    <n v="15"/>
  </r>
  <r>
    <n v="3475"/>
    <s v="Giovana Ribeiro"/>
    <x v="1"/>
    <d v="2024-10-27T00:00:00"/>
    <x v="1"/>
    <n v="5"/>
    <x v="0"/>
    <s v="No"/>
    <x v="1"/>
    <s v="No"/>
    <n v="0"/>
    <n v="1"/>
    <n v="4"/>
  </r>
  <r>
    <n v="3476"/>
    <s v="Hélio Costa"/>
    <x v="0"/>
    <d v="2024-10-28T00:00:00"/>
    <x v="0"/>
    <n v="15"/>
    <x v="2"/>
    <s v="Yes"/>
    <x v="0"/>
    <s v="Yes"/>
    <n v="20"/>
    <n v="7"/>
    <n v="58"/>
  </r>
  <r>
    <n v="3477"/>
    <s v="Íris Loureiro"/>
    <x v="2"/>
    <d v="2024-10-29T00:00:00"/>
    <x v="1"/>
    <n v="10"/>
    <x v="0"/>
    <s v="No"/>
    <x v="1"/>
    <s v="Yes"/>
    <n v="20"/>
    <n v="10"/>
    <n v="20"/>
  </r>
  <r>
    <n v="3478"/>
    <s v="João Pereira"/>
    <x v="1"/>
    <d v="2024-10-30T00:00:00"/>
    <x v="0"/>
    <n v="5"/>
    <x v="1"/>
    <s v="No"/>
    <x v="1"/>
    <s v="No"/>
    <n v="0"/>
    <n v="0"/>
    <n v="5"/>
  </r>
  <r>
    <n v="3479"/>
    <s v="Klara Silva"/>
    <x v="0"/>
    <d v="2024-10-31T00:00:00"/>
    <x v="1"/>
    <n v="15"/>
    <x v="0"/>
    <s v="Yes"/>
    <x v="0"/>
    <s v="Yes"/>
    <n v="20"/>
    <n v="20"/>
    <n v="45"/>
  </r>
  <r>
    <n v="3480"/>
    <s v="Luciana Barros"/>
    <x v="2"/>
    <d v="2024-11-01T00:00:00"/>
    <x v="0"/>
    <n v="10"/>
    <x v="2"/>
    <s v="No"/>
    <x v="1"/>
    <s v="Yes"/>
    <n v="20"/>
    <n v="15"/>
    <n v="15"/>
  </r>
  <r>
    <n v="3481"/>
    <s v="Marcos Gomes"/>
    <x v="1"/>
    <d v="2024-11-02T00:00:00"/>
    <x v="1"/>
    <n v="5"/>
    <x v="0"/>
    <s v="No"/>
    <x v="1"/>
    <s v="No"/>
    <n v="0"/>
    <n v="1"/>
    <n v="4"/>
  </r>
  <r>
    <n v="3482"/>
    <s v="Natália Soares"/>
    <x v="0"/>
    <d v="2024-11-03T00:00:00"/>
    <x v="0"/>
    <n v="15"/>
    <x v="1"/>
    <s v="Yes"/>
    <x v="0"/>
    <s v="Yes"/>
    <n v="20"/>
    <n v="3"/>
    <n v="62"/>
  </r>
  <r>
    <n v="3483"/>
    <s v="Oscar Machado"/>
    <x v="2"/>
    <d v="2024-11-04T00:00:00"/>
    <x v="1"/>
    <n v="10"/>
    <x v="0"/>
    <s v="No"/>
    <x v="1"/>
    <s v="Yes"/>
    <n v="20"/>
    <n v="10"/>
    <n v="20"/>
  </r>
  <r>
    <n v="3484"/>
    <s v="Patrícia Lima"/>
    <x v="1"/>
    <d v="2024-11-05T00:00:00"/>
    <x v="0"/>
    <n v="5"/>
    <x v="2"/>
    <s v="No"/>
    <x v="1"/>
    <s v="No"/>
    <n v="0"/>
    <n v="0"/>
    <n v="5"/>
  </r>
  <r>
    <n v="3485"/>
    <s v="Quirino Neto"/>
    <x v="0"/>
    <d v="2024-11-06T00:00:00"/>
    <x v="1"/>
    <n v="15"/>
    <x v="0"/>
    <s v="Yes"/>
    <x v="0"/>
    <s v="Yes"/>
    <n v="20"/>
    <n v="15"/>
    <n v="50"/>
  </r>
  <r>
    <n v="3486"/>
    <s v="Rafaela Souza"/>
    <x v="1"/>
    <d v="2024-11-07T00:00:00"/>
    <x v="0"/>
    <n v="5"/>
    <x v="0"/>
    <s v="No"/>
    <x v="1"/>
    <s v="No"/>
    <n v="0"/>
    <n v="0"/>
    <n v="5"/>
  </r>
  <r>
    <n v="3487"/>
    <s v="Sandro Almeida"/>
    <x v="0"/>
    <d v="2024-11-08T00:00:00"/>
    <x v="1"/>
    <n v="15"/>
    <x v="2"/>
    <s v="Yes"/>
    <x v="0"/>
    <s v="Yes"/>
    <n v="20"/>
    <n v="7"/>
    <n v="58"/>
  </r>
  <r>
    <n v="3488"/>
    <s v="Tânia Ribeiro"/>
    <x v="2"/>
    <d v="2024-11-09T00:00:00"/>
    <x v="0"/>
    <n v="10"/>
    <x v="1"/>
    <s v="No"/>
    <x v="1"/>
    <s v="Yes"/>
    <n v="20"/>
    <n v="10"/>
    <n v="20"/>
  </r>
  <r>
    <n v="3489"/>
    <s v="Ugo Dias"/>
    <x v="1"/>
    <d v="2024-11-10T00:00:00"/>
    <x v="1"/>
    <n v="5"/>
    <x v="2"/>
    <s v="No"/>
    <x v="1"/>
    <s v="No"/>
    <n v="0"/>
    <n v="1"/>
    <n v="4"/>
  </r>
  <r>
    <n v="3490"/>
    <s v="Valéria Lima"/>
    <x v="0"/>
    <d v="2024-11-11T00:00:00"/>
    <x v="0"/>
    <n v="15"/>
    <x v="0"/>
    <s v="Yes"/>
    <x v="0"/>
    <s v="Yes"/>
    <n v="20"/>
    <n v="15"/>
    <n v="50"/>
  </r>
  <r>
    <n v="3491"/>
    <s v="William Fernandes"/>
    <x v="2"/>
    <d v="2024-11-12T00:00:00"/>
    <x v="1"/>
    <n v="10"/>
    <x v="0"/>
    <s v="No"/>
    <x v="1"/>
    <s v="Yes"/>
    <n v="20"/>
    <n v="5"/>
    <n v="25"/>
  </r>
  <r>
    <n v="3492"/>
    <s v="Xuxa Mendes"/>
    <x v="1"/>
    <d v="2024-11-13T00:00:00"/>
    <x v="0"/>
    <n v="5"/>
    <x v="1"/>
    <s v="No"/>
    <x v="1"/>
    <s v="No"/>
    <n v="0"/>
    <n v="0"/>
    <n v="5"/>
  </r>
  <r>
    <n v="3493"/>
    <s v="Ygor Farias"/>
    <x v="0"/>
    <d v="2024-11-14T00:00:00"/>
    <x v="1"/>
    <n v="15"/>
    <x v="2"/>
    <s v="Yes"/>
    <x v="0"/>
    <s v="Yes"/>
    <n v="20"/>
    <n v="20"/>
    <n v="45"/>
  </r>
  <r>
    <n v="3494"/>
    <s v="Zilda Barros"/>
    <x v="2"/>
    <d v="2024-11-15T00:00:00"/>
    <x v="0"/>
    <n v="10"/>
    <x v="2"/>
    <s v="No"/>
    <x v="1"/>
    <s v="Yes"/>
    <n v="20"/>
    <n v="12"/>
    <n v="18"/>
  </r>
  <r>
    <n v="3495"/>
    <s v="Amanda Santos"/>
    <x v="1"/>
    <d v="2024-11-16T00:00:00"/>
    <x v="1"/>
    <n v="5"/>
    <x v="0"/>
    <s v="No"/>
    <x v="1"/>
    <s v="No"/>
    <n v="0"/>
    <n v="2"/>
    <n v="3"/>
  </r>
  <r>
    <n v="3496"/>
    <s v="Bruno Costa"/>
    <x v="0"/>
    <d v="2024-11-17T00:00:00"/>
    <x v="0"/>
    <n v="15"/>
    <x v="1"/>
    <s v="Yes"/>
    <x v="0"/>
    <s v="Yes"/>
    <n v="20"/>
    <n v="5"/>
    <n v="60"/>
  </r>
  <r>
    <n v="3497"/>
    <s v="Carla Rodrigues"/>
    <x v="2"/>
    <d v="2024-11-18T00:00:00"/>
    <x v="1"/>
    <n v="10"/>
    <x v="0"/>
    <s v="No"/>
    <x v="1"/>
    <s v="Yes"/>
    <n v="20"/>
    <n v="10"/>
    <n v="20"/>
  </r>
  <r>
    <n v="3498"/>
    <s v="Diogo Pereira"/>
    <x v="1"/>
    <d v="2024-11-19T00:00:00"/>
    <x v="0"/>
    <n v="5"/>
    <x v="2"/>
    <s v="No"/>
    <x v="1"/>
    <s v="No"/>
    <n v="0"/>
    <n v="0"/>
    <n v="5"/>
  </r>
  <r>
    <n v="3499"/>
    <s v="Elisa Correia"/>
    <x v="0"/>
    <d v="2024-11-20T00:00:00"/>
    <x v="1"/>
    <n v="15"/>
    <x v="0"/>
    <s v="Yes"/>
    <x v="0"/>
    <s v="Yes"/>
    <n v="20"/>
    <n v="3"/>
    <n v="62"/>
  </r>
  <r>
    <n v="3500"/>
    <s v="Fábio Lourenço"/>
    <x v="2"/>
    <d v="2024-11-21T00:00:00"/>
    <x v="0"/>
    <n v="10"/>
    <x v="1"/>
    <s v="No"/>
    <x v="1"/>
    <s v="Yes"/>
    <n v="20"/>
    <n v="15"/>
    <n v="15"/>
  </r>
  <r>
    <n v="3501"/>
    <s v="Gabriela Neves"/>
    <x v="1"/>
    <d v="2024-11-22T00:00:00"/>
    <x v="1"/>
    <n v="5"/>
    <x v="0"/>
    <s v="No"/>
    <x v="1"/>
    <s v="No"/>
    <n v="0"/>
    <n v="1"/>
    <n v="4"/>
  </r>
  <r>
    <n v="3502"/>
    <s v="Henrique Gonçalves"/>
    <x v="0"/>
    <d v="2024-11-23T00:00:00"/>
    <x v="0"/>
    <n v="15"/>
    <x v="2"/>
    <s v="Yes"/>
    <x v="0"/>
    <s v="Yes"/>
    <n v="20"/>
    <n v="7"/>
    <n v="58"/>
  </r>
  <r>
    <n v="3503"/>
    <s v="Íris Santos"/>
    <x v="2"/>
    <d v="2024-11-24T00:00:00"/>
    <x v="1"/>
    <n v="10"/>
    <x v="0"/>
    <s v="No"/>
    <x v="1"/>
    <s v="Yes"/>
    <n v="20"/>
    <n v="10"/>
    <n v="20"/>
  </r>
  <r>
    <n v="3504"/>
    <s v="João Marcelo Alves"/>
    <x v="1"/>
    <d v="2024-11-25T00:00:00"/>
    <x v="0"/>
    <n v="5"/>
    <x v="1"/>
    <s v="No"/>
    <x v="1"/>
    <s v="No"/>
    <n v="0"/>
    <n v="0"/>
    <n v="5"/>
  </r>
  <r>
    <n v="3505"/>
    <s v="Klara Fonseca"/>
    <x v="0"/>
    <d v="2024-11-26T00:00:00"/>
    <x v="1"/>
    <n v="15"/>
    <x v="0"/>
    <s v="Yes"/>
    <x v="0"/>
    <s v="Yes"/>
    <n v="20"/>
    <n v="20"/>
    <n v="45"/>
  </r>
  <r>
    <n v="3506"/>
    <s v="Lucas Mendonça"/>
    <x v="2"/>
    <d v="2024-11-27T00:00:00"/>
    <x v="0"/>
    <n v="10"/>
    <x v="2"/>
    <s v="No"/>
    <x v="1"/>
    <s v="Yes"/>
    <n v="20"/>
    <n v="15"/>
    <n v="15"/>
  </r>
  <r>
    <n v="3507"/>
    <s v="Marcela Torres"/>
    <x v="1"/>
    <d v="2024-11-28T00:00:00"/>
    <x v="1"/>
    <n v="5"/>
    <x v="0"/>
    <s v="No"/>
    <x v="1"/>
    <s v="No"/>
    <n v="0"/>
    <n v="1"/>
    <n v="4"/>
  </r>
  <r>
    <n v="3508"/>
    <s v="Natália Castro"/>
    <x v="0"/>
    <d v="2024-11-29T00:00:00"/>
    <x v="0"/>
    <n v="15"/>
    <x v="1"/>
    <s v="Yes"/>
    <x v="0"/>
    <s v="Yes"/>
    <n v="20"/>
    <n v="3"/>
    <n v="62"/>
  </r>
  <r>
    <n v="3509"/>
    <s v="Oscar Martins"/>
    <x v="2"/>
    <d v="2024-11-30T00:00:00"/>
    <x v="1"/>
    <n v="10"/>
    <x v="0"/>
    <s v="No"/>
    <x v="1"/>
    <s v="Yes"/>
    <n v="20"/>
    <n v="10"/>
    <n v="20"/>
  </r>
  <r>
    <n v="3510"/>
    <s v="Patrícia Oliveira"/>
    <x v="1"/>
    <d v="2024-12-01T00:00:00"/>
    <x v="0"/>
    <n v="5"/>
    <x v="2"/>
    <s v="No"/>
    <x v="1"/>
    <s v="No"/>
    <n v="0"/>
    <n v="0"/>
    <n v="5"/>
  </r>
  <r>
    <n v="3511"/>
    <s v="Quentin Nogueira"/>
    <x v="0"/>
    <d v="2024-12-02T00:00:00"/>
    <x v="1"/>
    <n v="15"/>
    <x v="0"/>
    <s v="Yes"/>
    <x v="0"/>
    <s v="Yes"/>
    <n v="20"/>
    <n v="15"/>
    <n v="50"/>
  </r>
  <r>
    <n v="3512"/>
    <s v="Raquel Silva"/>
    <x v="2"/>
    <d v="2024-12-03T00:00:00"/>
    <x v="0"/>
    <n v="10"/>
    <x v="1"/>
    <s v="No"/>
    <x v="1"/>
    <s v="Yes"/>
    <n v="20"/>
    <n v="15"/>
    <n v="15"/>
  </r>
  <r>
    <n v="3513"/>
    <s v="Sandro Gomes"/>
    <x v="1"/>
    <d v="2024-12-04T00:00:00"/>
    <x v="1"/>
    <n v="5"/>
    <x v="0"/>
    <s v="No"/>
    <x v="1"/>
    <s v="No"/>
    <n v="0"/>
    <n v="1"/>
    <n v="4"/>
  </r>
  <r>
    <n v="3514"/>
    <s v="Tânia Machado"/>
    <x v="0"/>
    <d v="2024-12-05T00:00:00"/>
    <x v="0"/>
    <n v="15"/>
    <x v="2"/>
    <s v="Yes"/>
    <x v="0"/>
    <s v="Yes"/>
    <n v="20"/>
    <n v="7"/>
    <n v="58"/>
  </r>
  <r>
    <n v="3515"/>
    <s v="Ursula Silva"/>
    <x v="2"/>
    <d v="2024-12-06T00:00:00"/>
    <x v="1"/>
    <n v="10"/>
    <x v="0"/>
    <s v="No"/>
    <x v="1"/>
    <s v="Yes"/>
    <n v="20"/>
    <n v="10"/>
    <n v="20"/>
  </r>
  <r>
    <n v="3516"/>
    <s v="Vanessa Moraes"/>
    <x v="1"/>
    <d v="2024-12-07T00:00:00"/>
    <x v="0"/>
    <n v="5"/>
    <x v="1"/>
    <s v="No"/>
    <x v="1"/>
    <s v="No"/>
    <n v="0"/>
    <n v="0"/>
    <n v="5"/>
  </r>
  <r>
    <n v="3517"/>
    <s v="William Carvalho"/>
    <x v="0"/>
    <d v="2024-12-08T00:00:00"/>
    <x v="1"/>
    <n v="15"/>
    <x v="0"/>
    <s v="Yes"/>
    <x v="0"/>
    <s v="Yes"/>
    <n v="20"/>
    <n v="20"/>
    <n v="45"/>
  </r>
  <r>
    <n v="3518"/>
    <s v="Xavier Reis"/>
    <x v="2"/>
    <d v="2024-12-09T00:00:00"/>
    <x v="0"/>
    <n v="10"/>
    <x v="2"/>
    <s v="No"/>
    <x v="1"/>
    <s v="Yes"/>
    <n v="20"/>
    <n v="12"/>
    <n v="18"/>
  </r>
  <r>
    <n v="3519"/>
    <s v="Yasmin Rocha"/>
    <x v="1"/>
    <d v="2024-12-10T00:00:00"/>
    <x v="1"/>
    <n v="5"/>
    <x v="0"/>
    <s v="No"/>
    <x v="1"/>
    <s v="No"/>
    <n v="0"/>
    <n v="2"/>
    <n v="3"/>
  </r>
  <r>
    <n v="3520"/>
    <s v="Zacarias Duarte"/>
    <x v="0"/>
    <d v="2024-12-11T00:00:00"/>
    <x v="0"/>
    <n v="15"/>
    <x v="1"/>
    <s v="Yes"/>
    <x v="0"/>
    <s v="Yes"/>
    <n v="20"/>
    <n v="5"/>
    <n v="60"/>
  </r>
  <r>
    <n v="3521"/>
    <s v="Amanda Freitas"/>
    <x v="2"/>
    <d v="2024-12-12T00:00:00"/>
    <x v="1"/>
    <n v="10"/>
    <x v="0"/>
    <s v="No"/>
    <x v="1"/>
    <s v="Yes"/>
    <n v="20"/>
    <n v="10"/>
    <n v="20"/>
  </r>
  <r>
    <n v="3522"/>
    <s v="Bruno Almeida"/>
    <x v="1"/>
    <d v="2024-12-13T00:00:00"/>
    <x v="0"/>
    <n v="5"/>
    <x v="2"/>
    <s v="No"/>
    <x v="1"/>
    <s v="No"/>
    <n v="0"/>
    <n v="0"/>
    <n v="5"/>
  </r>
  <r>
    <n v="3523"/>
    <s v="Carla Siqueira"/>
    <x v="0"/>
    <d v="2024-12-14T00:00:00"/>
    <x v="1"/>
    <n v="15"/>
    <x v="0"/>
    <s v="Yes"/>
    <x v="0"/>
    <s v="Yes"/>
    <n v="20"/>
    <n v="3"/>
    <n v="62"/>
  </r>
  <r>
    <n v="3524"/>
    <s v="Diogo Ramos"/>
    <x v="2"/>
    <d v="2024-12-15T00:00:00"/>
    <x v="0"/>
    <n v="10"/>
    <x v="1"/>
    <s v="No"/>
    <x v="1"/>
    <s v="Yes"/>
    <n v="20"/>
    <n v="15"/>
    <n v="15"/>
  </r>
  <r>
    <n v="3525"/>
    <s v="Elisa Magalhães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7BBBDB-C68A-45D5-ACA2-3739C738D154}" name="Tabela dinâmica5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2">
  <location ref="A21:B24" firstHeaderRow="1" firstDataRow="1" firstDataCol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44"/>
  </dataFields>
  <formats count="3">
    <format dxfId="128">
      <pivotArea type="all" dataOnly="0" outline="0" fieldPosition="0"/>
    </format>
    <format dxfId="129">
      <pivotArea outline="0" collapsedLevelsAreSubtotals="1" fieldPosition="0"/>
    </format>
    <format dxfId="130">
      <pivotArea dataOnly="0" labelOnly="1" outline="0" axis="axisValues" fieldPosition="0"/>
    </format>
  </formats>
  <chartFormats count="2">
    <chartFormat chart="4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E7DB8B-6B38-4FC5-9C58-4F1E31EBD024}" name="Tabela dinâmica4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14:B18" firstHeaderRow="1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formats count="6">
    <format dxfId="142">
      <pivotArea type="all" dataOnly="0" outline="0" fieldPosition="0"/>
    </format>
    <format dxfId="141">
      <pivotArea outline="0" collapsedLevelsAreSubtotals="1" fieldPosition="0"/>
    </format>
    <format dxfId="140">
      <pivotArea field="2" type="button" dataOnly="0" labelOnly="1" outline="0" axis="axisRow" fieldPosition="0"/>
    </format>
    <format dxfId="139">
      <pivotArea dataOnly="0" labelOnly="1" fieldPosition="0">
        <references count="1">
          <reference field="2" count="0"/>
        </references>
      </pivotArea>
    </format>
    <format dxfId="138">
      <pivotArea dataOnly="0" labelOnly="1" grandRow="1" outline="0" fieldPosition="0"/>
    </format>
    <format dxfId="137">
      <pivotArea dataOnly="0" labelOnly="1" outline="0" axis="axisValues" fieldPosition="0"/>
    </format>
  </formats>
  <chartFormats count="4"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D1475-63D1-4A56-8A8E-58D5A9CC4061}" name="Tabela dinâ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0:A11" firstHeaderRow="1" firstDataRow="1" firstDataCol="0"/>
  <pivotFields count="13">
    <pivotField showAll="0"/>
    <pivotField showAll="0"/>
    <pivotField showAll="0"/>
    <pivotField numFmtId="14" showAll="0"/>
    <pivotField showAll="0"/>
    <pivotField numFmtId="44" showAll="0"/>
    <pivotField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Items count="1">
    <i/>
  </rowItems>
  <colItems count="1">
    <i/>
  </colItems>
  <dataFields count="1">
    <dataField name="Soma de Minecraft Season Pass Price" fld="10" baseField="0" baseItem="0" numFmtId="7"/>
  </dataFields>
  <formats count="3">
    <format dxfId="136">
      <pivotArea type="all" dataOnly="0" outline="0" fieldPosition="0"/>
    </format>
    <format dxfId="135">
      <pivotArea outline="0" collapsedLevelsAreSubtotals="1" fieldPosition="0"/>
    </format>
    <format dxfId="13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E397FC-BC12-4820-BB12-4446E2340940}" name="Tabela dinâ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:A7" firstHeaderRow="1" firstDataRow="1" firstDataCol="0"/>
  <pivotFields count="13">
    <pivotField showAll="0"/>
    <pivotField showAll="0"/>
    <pivotField showAll="0"/>
    <pivotField numFmtId="14" showAll="0"/>
    <pivotField showAll="0"/>
    <pivotField numFmtId="44" showAll="0"/>
    <pivotField showAll="0">
      <items count="4">
        <item h="1" x="1"/>
        <item h="1"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Items count="1">
    <i/>
  </rowItems>
  <colItems count="1">
    <i/>
  </colItems>
  <dataFields count="1">
    <dataField name="Soma de EA Play Season Pass Price" fld="8" baseField="0" baseItem="0" numFmtId="168"/>
  </dataFields>
  <formats count="4">
    <format dxfId="49">
      <pivotArea type="all" dataOnly="0" outline="0" fieldPosition="0"/>
    </format>
    <format dxfId="50">
      <pivotArea outline="0" collapsedLevelsAreSubtotals="1" fieldPosition="0"/>
    </format>
    <format dxfId="51">
      <pivotArea dataOnly="0" labelOnly="1" outline="0" axis="axisValues" fieldPosition="0"/>
    </format>
    <format dxfId="4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0A574F-3FC0-4E36-9E12-2C0381AD84AF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A2" firstHeaderRow="1" firstDataRow="1" firstDataCol="0"/>
  <pivotFields count="13">
    <pivotField showAll="0"/>
    <pivotField showAll="0"/>
    <pivotField showAll="0"/>
    <pivotField numFmtId="14" showAll="0"/>
    <pivotField showAll="0"/>
    <pivotField numFmtId="44" showAll="0"/>
    <pivotField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Items count="1">
    <i/>
  </rowItems>
  <colItems count="1">
    <i/>
  </colItems>
  <dataFields count="1">
    <dataField name="Soma de Total Value" fld="12" baseField="0" baseItem="0" numFmtId="7"/>
  </dataFields>
  <formats count="3">
    <format dxfId="133">
      <pivotArea type="all" dataOnly="0" outline="0" fieldPosition="0"/>
    </format>
    <format dxfId="132">
      <pivotArea outline="0" collapsedLevelsAreSubtotals="1" fieldPosition="0"/>
    </format>
    <format dxfId="13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641F119E-FE0F-4B14-990E-AA2D35E98080}" sourceName="Subscription Type">
  <pivotTables>
    <pivotTable tabId="3" name="Tabela dinâmica4"/>
    <pivotTable tabId="3" name="Tabela dinâmica1"/>
    <pivotTable tabId="3" name="Tabela dinâmica2"/>
    <pivotTable tabId="3" name="Tabela dinâmica3"/>
    <pivotTable tabId="3" name="Tabela dinâmica5"/>
  </pivotTables>
  <data>
    <tabular pivotCacheId="1781543285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1F56B86-8661-4182-AB79-3FAB4F79A3E8}" cache="SegmentaçãodeDados_Subscription_Type" caption="Subscription Type" style="SlicerStyleDark3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6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55"/>
    <tableColumn id="2" xr3:uid="{53DD39D0-2220-4121-9E9D-4EAA7E151C0F}" name="Name" dataDxfId="154"/>
    <tableColumn id="3" xr3:uid="{4F5FF271-4C57-4BE0-8F2C-F82C8551625C}" name="Plan" dataDxfId="153"/>
    <tableColumn id="4" xr3:uid="{8C17EB93-79B9-4E55-B8F7-BEB82F8253E9}" name="Start Date" dataDxfId="152"/>
    <tableColumn id="5" xr3:uid="{48CEDF9B-1689-482A-A828-5CCE7713264A}" name="Auto Renewal" dataDxfId="151"/>
    <tableColumn id="6" xr3:uid="{78B82374-9AA7-4E38-AE4F-78CDE6C83720}" name="Subscription Price" dataDxfId="150" dataCellStyle="Moeda"/>
    <tableColumn id="7" xr3:uid="{F2433F68-AF33-49D0-B1FB-19A396074EDE}" name="Subscription Type" dataDxfId="149"/>
    <tableColumn id="8" xr3:uid="{FD4D9C95-F6E5-4933-9068-A71FF7DF9343}" name="EA Play Season Pass" dataDxfId="148"/>
    <tableColumn id="13" xr3:uid="{978DD0D2-834E-4CE4-A39B-30976086932F}" name="EA Play Season Pass_x000a_Price" dataDxfId="147" dataCellStyle="Moeda"/>
    <tableColumn id="9" xr3:uid="{6E29F111-C395-4580-9DAD-3407D9E8B1A4}" name="Minecraft Season Pass" dataDxfId="146"/>
    <tableColumn id="10" xr3:uid="{EF544EAA-7F25-4FD5-A10E-8E62804DB9E3}" name="Minecraft Season Pass Price" dataDxfId="145" dataCellStyle="Moeda"/>
    <tableColumn id="11" xr3:uid="{7F6EB64A-1F07-4E48-9F0F-AC7D9DCD26F8}" name="Coupon Value" dataDxfId="144" dataCellStyle="Moeda"/>
    <tableColumn id="12" xr3:uid="{2B04ABC8-DE6F-426E-ADC0-D8AFC68CA58E}" name="Total Value" dataDxfId="143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0" zoomScaleNormal="100" workbookViewId="0">
      <selection activeCell="K24" sqref="K24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I19" sqref="I19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C24"/>
  <sheetViews>
    <sheetView showGridLines="0" workbookViewId="0">
      <selection activeCell="C9" sqref="C9"/>
    </sheetView>
  </sheetViews>
  <sheetFormatPr defaultRowHeight="14.4" x14ac:dyDescent="0.3"/>
  <cols>
    <col min="1" max="1" width="16.77734375" bestFit="1" customWidth="1"/>
    <col min="2" max="2" width="17.88671875" bestFit="1" customWidth="1"/>
    <col min="3" max="3" width="18.44140625" bestFit="1" customWidth="1"/>
    <col min="4" max="4" width="30.5546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1" spans="1:3" x14ac:dyDescent="0.3">
      <c r="A1" s="13" t="s">
        <v>313</v>
      </c>
      <c r="B1" s="13"/>
      <c r="C1" s="13"/>
    </row>
    <row r="2" spans="1:3" x14ac:dyDescent="0.3">
      <c r="A2" s="14">
        <v>2308</v>
      </c>
      <c r="B2" s="15" t="str">
        <f>TEXT(A2, "R$ #.##0,00")</f>
        <v>R$ 2.308,00</v>
      </c>
      <c r="C2" s="13"/>
    </row>
    <row r="3" spans="1:3" x14ac:dyDescent="0.3">
      <c r="A3" s="13"/>
      <c r="B3" s="13"/>
      <c r="C3" s="13"/>
    </row>
    <row r="4" spans="1:3" x14ac:dyDescent="0.3">
      <c r="A4" s="13"/>
      <c r="B4" s="13"/>
      <c r="C4" s="13"/>
    </row>
    <row r="5" spans="1:3" x14ac:dyDescent="0.3">
      <c r="A5" s="13"/>
      <c r="B5" s="13"/>
      <c r="C5" s="13"/>
    </row>
    <row r="6" spans="1:3" x14ac:dyDescent="0.3">
      <c r="A6" s="13" t="s">
        <v>317</v>
      </c>
      <c r="B6" s="13"/>
      <c r="C6" s="13"/>
    </row>
    <row r="7" spans="1:3" x14ac:dyDescent="0.3">
      <c r="A7" s="16">
        <v>990</v>
      </c>
      <c r="B7" s="15" t="str">
        <f>TEXT(A7, "R$ #.##0,00")</f>
        <v>R$ 990,00</v>
      </c>
      <c r="C7" s="13"/>
    </row>
    <row r="8" spans="1:3" x14ac:dyDescent="0.3">
      <c r="A8" s="13"/>
      <c r="B8" s="13"/>
      <c r="C8" s="13"/>
    </row>
    <row r="9" spans="1:3" x14ac:dyDescent="0.3">
      <c r="A9" s="13"/>
      <c r="B9" s="13"/>
      <c r="C9" s="13"/>
    </row>
    <row r="10" spans="1:3" x14ac:dyDescent="0.3">
      <c r="A10" s="13" t="s">
        <v>314</v>
      </c>
      <c r="B10" s="13"/>
      <c r="C10" s="13"/>
    </row>
    <row r="11" spans="1:3" x14ac:dyDescent="0.3">
      <c r="A11" s="14">
        <v>1140</v>
      </c>
      <c r="B11" s="15" t="str">
        <f>TEXT(A11, "R$ #.##0,00")</f>
        <v>R$ 1.140,00</v>
      </c>
      <c r="C11" s="13"/>
    </row>
    <row r="12" spans="1:3" x14ac:dyDescent="0.3">
      <c r="A12" s="13"/>
      <c r="B12" s="13"/>
      <c r="C12" s="13"/>
    </row>
    <row r="13" spans="1:3" x14ac:dyDescent="0.3">
      <c r="A13" s="13"/>
      <c r="B13" s="13"/>
      <c r="C13" s="13"/>
    </row>
    <row r="14" spans="1:3" x14ac:dyDescent="0.3">
      <c r="A14" s="17" t="s">
        <v>315</v>
      </c>
      <c r="B14" s="13" t="s">
        <v>313</v>
      </c>
      <c r="C14" s="13"/>
    </row>
    <row r="15" spans="1:3" x14ac:dyDescent="0.3">
      <c r="A15" s="18" t="s">
        <v>22</v>
      </c>
      <c r="B15" s="19">
        <v>132</v>
      </c>
      <c r="C15" s="13"/>
    </row>
    <row r="16" spans="1:3" x14ac:dyDescent="0.3">
      <c r="A16" s="18" t="s">
        <v>26</v>
      </c>
      <c r="B16" s="19">
        <v>395</v>
      </c>
      <c r="C16" s="13"/>
    </row>
    <row r="17" spans="1:3" x14ac:dyDescent="0.3">
      <c r="A17" s="18" t="s">
        <v>18</v>
      </c>
      <c r="B17" s="19">
        <v>1781</v>
      </c>
      <c r="C17" s="13"/>
    </row>
    <row r="18" spans="1:3" x14ac:dyDescent="0.3">
      <c r="A18" s="18" t="s">
        <v>316</v>
      </c>
      <c r="B18" s="19">
        <v>2308</v>
      </c>
      <c r="C18" s="13"/>
    </row>
    <row r="19" spans="1:3" x14ac:dyDescent="0.3">
      <c r="A19" s="13"/>
      <c r="B19" s="13"/>
      <c r="C19" s="13"/>
    </row>
    <row r="20" spans="1:3" x14ac:dyDescent="0.3">
      <c r="A20" s="13"/>
      <c r="B20" s="13"/>
      <c r="C20" s="13"/>
    </row>
    <row r="21" spans="1:3" x14ac:dyDescent="0.3">
      <c r="A21" s="17" t="s">
        <v>315</v>
      </c>
      <c r="B21" s="13" t="s">
        <v>313</v>
      </c>
    </row>
    <row r="22" spans="1:3" x14ac:dyDescent="0.3">
      <c r="A22" s="18" t="s">
        <v>23</v>
      </c>
      <c r="B22" s="19">
        <v>806</v>
      </c>
    </row>
    <row r="23" spans="1:3" x14ac:dyDescent="0.3">
      <c r="A23" s="18" t="s">
        <v>19</v>
      </c>
      <c r="B23" s="19">
        <v>1502</v>
      </c>
    </row>
    <row r="24" spans="1:3" x14ac:dyDescent="0.3">
      <c r="A24" s="18" t="s">
        <v>316</v>
      </c>
      <c r="B24" s="19">
        <v>2308</v>
      </c>
    </row>
  </sheetData>
  <pageMargins left="0.511811024" right="0.511811024" top="0.78740157499999996" bottom="0.78740157499999996" header="0.31496062000000002" footer="0.31496062000000002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7"/>
  <sheetViews>
    <sheetView showGridLines="0" tabSelected="1" zoomScale="50" zoomScaleNormal="50" workbookViewId="0">
      <selection activeCell="AD33" sqref="AD33"/>
    </sheetView>
  </sheetViews>
  <sheetFormatPr defaultRowHeight="14.4" x14ac:dyDescent="0.3"/>
  <cols>
    <col min="1" max="1" width="20" style="12" customWidth="1"/>
    <col min="2" max="2" width="3.5546875" style="12" customWidth="1"/>
    <col min="3" max="11" width="8.88671875" style="12"/>
    <col min="12" max="12" width="6.5546875" style="12" customWidth="1"/>
    <col min="13" max="16384" width="8.88671875" style="12"/>
  </cols>
  <sheetData>
    <row r="2" s="20" customFormat="1" ht="39" customHeight="1" x14ac:dyDescent="2"/>
    <row r="3" ht="8.25" customHeight="1" x14ac:dyDescent="0.3"/>
    <row r="4" ht="7.5" customHeight="1" x14ac:dyDescent="0.3"/>
    <row r="5" ht="10.5" customHeight="1" x14ac:dyDescent="0.3"/>
    <row r="6" ht="9.75" customHeight="1" x14ac:dyDescent="0.3"/>
    <row r="7" ht="33" customHeight="1" x14ac:dyDescent="0.3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Victor Hugo Nogueira Souza</cp:lastModifiedBy>
  <dcterms:created xsi:type="dcterms:W3CDTF">2024-12-19T13:13:10Z</dcterms:created>
  <dcterms:modified xsi:type="dcterms:W3CDTF">2026-05-28T18:06:20Z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